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版本" sheetId="1" r:id="rId5"/>
    <sheet state="visible" name="清單" sheetId="2" r:id="rId6"/>
    <sheet state="visible" name="Glossary" sheetId="3" r:id="rId7"/>
    <sheet state="visible" name="消除定義" sheetId="4" r:id="rId8"/>
    <sheet state="visible" name="1.元素+元素生成器" sheetId="5" r:id="rId9"/>
    <sheet state="visible" name="2.火箭" sheetId="6" r:id="rId10"/>
    <sheet state="visible" name="3.炸彈" sheetId="7" r:id="rId11"/>
    <sheet state="visible" name="4.螺旋槳" sheetId="8" r:id="rId12"/>
    <sheet state="visible" name="5.紙風車" sheetId="9" r:id="rId13"/>
    <sheet state="visible" name="6.紙箱" sheetId="10" r:id="rId14"/>
    <sheet state="visible" name="7.水漥" sheetId="11" r:id="rId15"/>
    <sheet state="visible" name="8.礦泉水櫃" sheetId="12" r:id="rId16"/>
    <sheet state="visible" name="9.郵戳印章" sheetId="13" r:id="rId17"/>
    <sheet state="visible" name="10.木桶" sheetId="14" r:id="rId18"/>
    <sheet state="visible" name="11.藥水櫃" sheetId="15" r:id="rId19"/>
    <sheet state="visible" name="12.交通錐" sheetId="16" r:id="rId20"/>
    <sheet state="visible" name="路障" sheetId="17" r:id="rId21"/>
    <sheet state="visible" name="13.罐頭" sheetId="18" r:id="rId22"/>
    <sheet state="visible" name="14.充氣游泳池" sheetId="19" r:id="rId23"/>
    <sheet state="visible" name="15.繩索" sheetId="20" r:id="rId24"/>
    <sheet state="visible" name="16.泥巴" sheetId="21" r:id="rId25"/>
    <sheet state="visible" name="17.保險箱" sheetId="22" r:id="rId26"/>
    <sheet state="visible" name="18.拖鞋" sheetId="23" r:id="rId27"/>
    <sheet state="visible" name="19.彩色紙箱" sheetId="24" r:id="rId28"/>
    <sheet state="visible" name="20.冰塊" sheetId="25" r:id="rId29"/>
    <sheet state="visible" name="21.玻璃罐頭" sheetId="26" r:id="rId30"/>
    <sheet state="visible" name="22.鐵捲門" sheetId="27" r:id="rId31"/>
    <sheet state="visible" name="23.亂亂背包" sheetId="28" r:id="rId32"/>
    <sheet state="visible" name="24.兌幣機" sheetId="29" r:id="rId33"/>
    <sheet state="visible" name="25.水球" sheetId="30" r:id="rId34"/>
    <sheet state="visible" name="26.磚頭花圃" sheetId="31" r:id="rId35"/>
    <sheet state="visible" name="13.野餐墊+野餐墊捆" sheetId="32" r:id="rId36"/>
    <sheet state="visible" name="12.果凍+櫻桃" sheetId="33" r:id="rId37"/>
  </sheets>
  <definedNames/>
  <calcPr/>
</workbook>
</file>

<file path=xl/sharedStrings.xml><?xml version="1.0" encoding="utf-8"?>
<sst xmlns="http://schemas.openxmlformats.org/spreadsheetml/2006/main" count="1767" uniqueCount="641">
  <si>
    <t>版本</t>
  </si>
  <si>
    <t>更新日期</t>
  </si>
  <si>
    <t>作者</t>
  </si>
  <si>
    <t>更新內容</t>
  </si>
  <si>
    <t>備註</t>
  </si>
  <si>
    <t>V0.1</t>
  </si>
  <si>
    <t>Wayne</t>
  </si>
  <si>
    <t>初版文件完成</t>
  </si>
  <si>
    <t>完成1~50關物件，但改變位移的相關物件先不納入。並增加字彙表、定義消除行為。</t>
  </si>
  <si>
    <t>V0.11</t>
  </si>
  <si>
    <t>清單調整</t>
  </si>
  <si>
    <t>發現一開始的清單內，關於RoyalMatch的部分有錯誤，已調整為正確內容。</t>
  </si>
  <si>
    <t>V0.2</t>
  </si>
  <si>
    <t>開始製作餐具櫃和藥水櫃文件，並新增層級、數量和消除冷卻相關內容。</t>
  </si>
  <si>
    <t>V0.21</t>
  </si>
  <si>
    <t>移除消除冷卻相關內容，新增高度說明。</t>
  </si>
  <si>
    <t>V0.22</t>
  </si>
  <si>
    <t>大幅調整物件清單順序，以規則機制面對齊Royal Match為原則。</t>
  </si>
  <si>
    <t>V0.23</t>
  </si>
  <si>
    <t>清單改版</t>
  </si>
  <si>
    <t>將障礙物以其特殊功能分類，避免每個障礙物文件塞入過多細節造成資訊高度重複。</t>
  </si>
  <si>
    <t>V0.24</t>
  </si>
  <si>
    <t>內容改版</t>
  </si>
  <si>
    <t>重製編號1~11的文件內容，並且新增大量字彙表內容。</t>
  </si>
  <si>
    <t>V0.25</t>
  </si>
  <si>
    <t>新增編號12~22的物件文件內容。</t>
  </si>
  <si>
    <t>V0.26</t>
  </si>
  <si>
    <t>修改容器障礙物說明、修改單次消除定義。</t>
  </si>
  <si>
    <t>V0.27</t>
  </si>
  <si>
    <t>新增內容</t>
  </si>
  <si>
    <t>23~40物件先行調研。</t>
  </si>
  <si>
    <t>V0.28</t>
  </si>
  <si>
    <t>紙風車補充</t>
  </si>
  <si>
    <t>V1.0</t>
  </si>
  <si>
    <t>開圖準備</t>
  </si>
  <si>
    <t>V1.1</t>
  </si>
  <si>
    <t>18~26+30號物件</t>
  </si>
  <si>
    <t>紙箱</t>
  </si>
  <si>
    <t>一般型</t>
  </si>
  <si>
    <t>固定</t>
  </si>
  <si>
    <t>單次消除</t>
  </si>
  <si>
    <t>鄰邊消除</t>
  </si>
  <si>
    <t>道具消除</t>
  </si>
  <si>
    <t>Box</t>
  </si>
  <si>
    <t>製造機</t>
  </si>
  <si>
    <t>其他</t>
  </si>
  <si>
    <t>木桶</t>
  </si>
  <si>
    <t>移動</t>
  </si>
  <si>
    <t>Royal Egg</t>
  </si>
  <si>
    <t>特殊</t>
  </si>
  <si>
    <t>交通錐</t>
  </si>
  <si>
    <t>Vase</t>
  </si>
  <si>
    <t>Royal Match 1~100關影片</t>
  </si>
  <si>
    <t>路障</t>
  </si>
  <si>
    <t>Royal Match - Levels 1 - 100 - YouTube</t>
  </si>
  <si>
    <t>罐頭</t>
  </si>
  <si>
    <t>Owl</t>
  </si>
  <si>
    <t>遮蔽是假議題</t>
  </si>
  <si>
    <t>充氣游泳池</t>
  </si>
  <si>
    <t>複數地塊</t>
  </si>
  <si>
    <t>Bush</t>
  </si>
  <si>
    <t>視覺上的遮蔽與否取決與美術圖，預設規則是可移動的不會完全遮蔽，固定的大部分都遮蔽</t>
  </si>
  <si>
    <t>保險箱</t>
  </si>
  <si>
    <t>Safe</t>
  </si>
  <si>
    <t>旅館常見保險箱</t>
  </si>
  <si>
    <t>5層</t>
  </si>
  <si>
    <t>回收型物件則不算，在消除判定上無視該物件進行判定即可</t>
  </si>
  <si>
    <t>彩色紙箱</t>
  </si>
  <si>
    <t>對應顏色</t>
  </si>
  <si>
    <t>Color Box</t>
  </si>
  <si>
    <t>1~4層</t>
  </si>
  <si>
    <t>瓶中信</t>
  </si>
  <si>
    <t>Porcelain Piggy</t>
  </si>
  <si>
    <t>障礙物的設計取向並非線性的提高消除層數</t>
  </si>
  <si>
    <t>泡麵</t>
  </si>
  <si>
    <t>https://royalmatch.fandom.com/wiki/Oyster</t>
  </si>
  <si>
    <t>越消越整齊</t>
  </si>
  <si>
    <t>編消+道具消3次消除</t>
  </si>
  <si>
    <t>水球</t>
  </si>
  <si>
    <t>特殊屬性</t>
  </si>
  <si>
    <t>https://royalmatch.fandom.com/wiki/Rock</t>
  </si>
  <si>
    <t>水球(越打越大)</t>
  </si>
  <si>
    <t>爆掉噴水漥</t>
  </si>
  <si>
    <t>邊消+道具消2次打成落葉</t>
  </si>
  <si>
    <t>如鑽頭、青蛙、鳥巢等</t>
  </si>
  <si>
    <t>玻璃罐頭</t>
  </si>
  <si>
    <t>第一階段道具消，第二階段邊消+道具消</t>
  </si>
  <si>
    <t>磚頭花圃</t>
  </si>
  <si>
    <t>多次消除</t>
  </si>
  <si>
    <t>繩索</t>
  </si>
  <si>
    <t>上層型</t>
  </si>
  <si>
    <t>原地消除</t>
  </si>
  <si>
    <t>Chain</t>
  </si>
  <si>
    <t>消除上的判定是只要同一格上有不同高度的物件</t>
  </si>
  <si>
    <t>泥巴</t>
  </si>
  <si>
    <t>Honey</t>
  </si>
  <si>
    <t>則要先消除上層才能消除中層，消除中層才能消除下層</t>
  </si>
  <si>
    <t>水漥</t>
  </si>
  <si>
    <t>下層型</t>
  </si>
  <si>
    <t>Grass</t>
  </si>
  <si>
    <t>礦泉水櫃</t>
  </si>
  <si>
    <t>容器</t>
  </si>
  <si>
    <t>混合消除</t>
  </si>
  <si>
    <t>Cupboard</t>
  </si>
  <si>
    <t>飲料櫃</t>
  </si>
  <si>
    <t>Potion Bottle</t>
  </si>
  <si>
    <t>炸藥盒</t>
  </si>
  <si>
    <t>https://royalmatch.fandom.com/wiki/Dynamite_Box</t>
  </si>
  <si>
    <t>杯架</t>
  </si>
  <si>
    <t>鳥巢</t>
  </si>
  <si>
    <t>扭蛋機</t>
  </si>
  <si>
    <t>小袋</t>
  </si>
  <si>
    <t>保齡球盒</t>
  </si>
  <si>
    <t>禁入膠帶</t>
  </si>
  <si>
    <r>
      <rPr>
        <rFont val="Microsoft JhengHei"/>
        <color rgb="FF1155CC"/>
        <u/>
      </rPr>
      <t>Ice</t>
    </r>
    <r>
      <rPr>
        <rFont val="Microsoft JhengHei"/>
        <color rgb="FF000000"/>
        <u/>
      </rPr>
      <t>/potion tube</t>
    </r>
  </si>
  <si>
    <t>141/9401</t>
  </si>
  <si>
    <t>禁止進入膠帶(粗)</t>
  </si>
  <si>
    <t>鐵捲門</t>
  </si>
  <si>
    <t>Curtain</t>
  </si>
  <si>
    <t>鐵捲門(休息中)</t>
  </si>
  <si>
    <t>而是在原本的玩法中加上其他機制，或加入不同的階段變化</t>
  </si>
  <si>
    <t>鑽頭</t>
  </si>
  <si>
    <t>收集到需求的顏色元素後，鑽頭啟動並破換路徑上所有障礙物。</t>
  </si>
  <si>
    <t>燈泡</t>
  </si>
  <si>
    <t>金屬管</t>
  </si>
  <si>
    <t>領結</t>
  </si>
  <si>
    <t>打開才能消除，關閉時無敵。</t>
  </si>
  <si>
    <t>基本元素</t>
  </si>
  <si>
    <t>同色拼湊</t>
  </si>
  <si>
    <t>Match_Items</t>
  </si>
  <si>
    <t>拼湊消除</t>
  </si>
  <si>
    <t>拖鞋</t>
  </si>
  <si>
    <t>接收型</t>
  </si>
  <si>
    <t>接收消除</t>
  </si>
  <si>
    <t>Bird</t>
  </si>
  <si>
    <t>扭蛋</t>
  </si>
  <si>
    <t>青蛙</t>
  </si>
  <si>
    <t>移動+自動</t>
  </si>
  <si>
    <t>如果有一回合沒往下掉，那他就會往上跳一格。</t>
  </si>
  <si>
    <t>燈籠</t>
  </si>
  <si>
    <t>連續型</t>
  </si>
  <si>
    <t>火箭</t>
  </si>
  <si>
    <t>道具</t>
  </si>
  <si>
    <t>使用</t>
  </si>
  <si>
    <t>Rocket</t>
  </si>
  <si>
    <t>炸彈</t>
  </si>
  <si>
    <t>TNT</t>
  </si>
  <si>
    <t>螺旋槳</t>
  </si>
  <si>
    <t>Propeller</t>
  </si>
  <si>
    <t>紙風車</t>
  </si>
  <si>
    <t>Light Ball</t>
  </si>
  <si>
    <t>郵戳印章</t>
  </si>
  <si>
    <t>Mailbox</t>
  </si>
  <si>
    <t>兌幣機</t>
  </si>
  <si>
    <t>https://royalmatch.fandom.com/wiki/Magic_Hat</t>
  </si>
  <si>
    <t>打會噴零錢</t>
  </si>
  <si>
    <t>打3次生出n個新色的元素。</t>
  </si>
  <si>
    <t>讓玩家可以建立明確的階段消除目標，並且產生新的、難預測的盤面</t>
  </si>
  <si>
    <t>罐子</t>
  </si>
  <si>
    <t>達到目標需求後罐子會消失。</t>
  </si>
  <si>
    <t>釜</t>
  </si>
  <si>
    <t>編號</t>
  </si>
  <si>
    <t>新案物件</t>
  </si>
  <si>
    <t>類型</t>
  </si>
  <si>
    <t>屬性1</t>
  </si>
  <si>
    <t>屬性2</t>
  </si>
  <si>
    <t>盤面運動</t>
  </si>
  <si>
    <t>消除類型</t>
  </si>
  <si>
    <t>消除方式1</t>
  </si>
  <si>
    <t>消除方式2</t>
  </si>
  <si>
    <t>RM對應</t>
  </si>
  <si>
    <t>RM初現關卡</t>
  </si>
  <si>
    <t>屬性</t>
  </si>
  <si>
    <t>消除方式</t>
  </si>
  <si>
    <t>專案詞彙表</t>
  </si>
  <si>
    <t>中文</t>
  </si>
  <si>
    <t>英文(非必要)</t>
  </si>
  <si>
    <t>意涵</t>
  </si>
  <si>
    <t>物件</t>
  </si>
  <si>
    <t>Object</t>
  </si>
  <si>
    <t>所有在地塊上可編輯的東西，包含：元素、道具、金幣、障礙物、地形...等。</t>
  </si>
  <si>
    <t>滑動</t>
  </si>
  <si>
    <t>Swipe</t>
  </si>
  <si>
    <t>玩家將地塊上的可移動物件拖曳到鄰近地塊上，並因此觸發兩個地塊上的可移動物件位置互換。</t>
  </si>
  <si>
    <t>消除</t>
  </si>
  <si>
    <t>Remove</t>
  </si>
  <si>
    <t>使物件降低層數或消失於盤面上的動作，若消除範圍包含道具，也會使道具被使用。</t>
  </si>
  <si>
    <t>盤外道具</t>
  </si>
  <si>
    <t>Booster</t>
  </si>
  <si>
    <t>透過獎勵、消費等方式獲得的遊戲道具，可保存並於遊戲關卡內隨時使用，且不會因使用而消耗一步。通常在關卡內顯示於畫面下方，便於讓玩家使用。</t>
  </si>
  <si>
    <t>盤內道具</t>
  </si>
  <si>
    <t>Power-ups</t>
  </si>
  <si>
    <t>透過遊戲內的元素合成及連續通關獎勵系統，出現在關卡盤面上的道具。具有消除效果，範圍及作用各有不同。</t>
  </si>
  <si>
    <t>道具合成</t>
  </si>
  <si>
    <t>Combine</t>
  </si>
  <si>
    <t>使用滑動，將一個盤內道具拖曳到另一個道具上。兩個道具在合成後會立即使用，並具有更強大的效果。</t>
  </si>
  <si>
    <t>Element</t>
  </si>
  <si>
    <t>是組成盤面最基礎的物件，共有六種顏色。可用同色元素拼湊成特殊排列後消除自身，並產生道具。可位移、可滑動、可消除。</t>
  </si>
  <si>
    <t>Stable</t>
  </si>
  <si>
    <t>當物件屬性為固定時，代表物件在盤面的位置不會變動，且不會被滑動、交換及掉落。盤面運動屬性為固定的物件，都無法透過生成器生成。</t>
  </si>
  <si>
    <t>Move</t>
  </si>
  <si>
    <t>物件在盤面上，可被玩家滑動，或因為地形特殊效果和下方地塊沒有物件而位移。此類物件皆可透過生成器生成。</t>
  </si>
  <si>
    <t>Use</t>
  </si>
  <si>
    <t>使用的觸發有3種：1.被玩家點擊後在原地使用。2.被玩家滑動後在新地塊位置使用。3.其他道具被使用時，受該道具的消除效果後在原地使用。</t>
  </si>
  <si>
    <t>延伸</t>
  </si>
  <si>
    <t>Extend</t>
  </si>
  <si>
    <t>會在符合條件的地塊生出相同的物件。</t>
  </si>
  <si>
    <t>層級</t>
  </si>
  <si>
    <t>Phase</t>
  </si>
  <si>
    <t>障礙物需要消除的階段數，障礙物的層級至少為1。單一障礙物的不同層級可以容許單次消除和多次消除並存，層級也可能具有消除數量。</t>
  </si>
  <si>
    <t>數量</t>
  </si>
  <si>
    <t>Quantity</t>
  </si>
  <si>
    <t>單一層級需要消除的次數，可視為一個層級的"血量"。</t>
  </si>
  <si>
    <t>One-off remove</t>
  </si>
  <si>
    <t>設定為單次消除的層級，在一次消除行為下，只能被消除一次。該次消除行為包含的複數地塊消除，都算是該單次消除行為。</t>
  </si>
  <si>
    <t>Regular remove</t>
  </si>
  <si>
    <t>障礙物連續受到多次消除，會造成對應消除次數的效果，沒有其他條件。特別是複數地塊物件，每個地塊受到的消除都會計算。</t>
  </si>
  <si>
    <t>Dual remove</t>
  </si>
  <si>
    <t>單一障礙物的不同層級，存在單次消除和多次消除的設定，定義為混合消除。避免設計者混淆。</t>
  </si>
  <si>
    <t>高度</t>
  </si>
  <si>
    <t>Layer</t>
  </si>
  <si>
    <t>物件在盤面上的高度，原則上較高的障礙物可以覆蓋較低的障礙物。被覆蓋的障礙物無法用任何方式改變狀態，直到解除覆蓋狀態。</t>
  </si>
  <si>
    <t>Producter</t>
  </si>
  <si>
    <t>製造機一般來說不可被消除、所以不能覆蓋其他物件，也不能被其他物件覆蓋。製造機具有受到消除後會製造物件或通關目標的特性。</t>
  </si>
  <si>
    <t>Normal</t>
  </si>
  <si>
    <t>最基礎的障礙物，具備1~N層，主要透過鄰邊消除和道具消除的手段來消除。</t>
  </si>
  <si>
    <t>Container</t>
  </si>
  <si>
    <t>容器障礙物一般來說分成兩個階段，階段1為單次消除打開層級，可能有數層。階段2具有單次消除或多次消除的內容物。</t>
  </si>
  <si>
    <t>Catch</t>
  </si>
  <si>
    <t>接收型障礙物只能在落入對應的接收器時才可被消除。接收型障礙物可移動，接收器不可移動、不占空間。</t>
  </si>
  <si>
    <t>Upper</t>
  </si>
  <si>
    <t>上層型障礙物可以覆蓋於其他的障礙物之上(不可覆蓋於其他上層型障礙物)，當上層型障礙物存在時，無法被其覆蓋的其他障礙物。</t>
  </si>
  <si>
    <t>Lower</t>
  </si>
  <si>
    <t>下層型障礙物可以被其他障礙物覆蓋(不可被其他下層型障礙物覆蓋)，在下層型障礙物上還有其他障礙物未消除時，無法影響下層型障礙物。</t>
  </si>
  <si>
    <t>Consecutive</t>
  </si>
  <si>
    <t>連續型障礙物需要被連續消除，否則會回退一層已被消除的層級。</t>
  </si>
  <si>
    <t>Special</t>
  </si>
  <si>
    <t>具有複合性的或獨特效果的障礙物，為避免設計者混淆，皆列入特殊類型以供辨識。</t>
  </si>
  <si>
    <t>Special status</t>
  </si>
  <si>
    <t>雖然障礙物大致上符合某種類型的劃分，但有局部獨特的效果屬性，在清單中以此做分類，並會在該障礙物文件中詳細闡述。</t>
  </si>
  <si>
    <t>Colority</t>
  </si>
  <si>
    <t>需要對應顏色的元素消除才能做出有效消除。</t>
  </si>
  <si>
    <t>Plural blocks</t>
  </si>
  <si>
    <t>物件最小存在單位超過一個地塊。</t>
  </si>
  <si>
    <t>回收消除</t>
  </si>
  <si>
    <t>Recycle remove</t>
  </si>
  <si>
    <t>物件只能以回收方式消失在盤面上。</t>
  </si>
  <si>
    <t>Color match</t>
  </si>
  <si>
    <t>由對應顏色的元素拼湊後觸發消除。</t>
  </si>
  <si>
    <t>Item</t>
  </si>
  <si>
    <t>可使用且可移動的物件，可以設置於盤面上、由生成器生成或元素拼湊後生成，在使用後會產生特殊的消除行為。道具可和其他道具連鎖觸發和合成。</t>
  </si>
  <si>
    <t>Neighbor Remove</t>
  </si>
  <si>
    <t>在與物件相鄰的地塊觸發消除行為時，會對物件產生消除效果。</t>
  </si>
  <si>
    <t>Item Remove</t>
  </si>
  <si>
    <t>由道具發出的消除行為，會對物件產生消除效果。</t>
  </si>
  <si>
    <t>In-place remove</t>
  </si>
  <si>
    <t>在同一個地塊上，由基本元素拼湊後觸發的消除，會對物件產生消除效果。</t>
  </si>
  <si>
    <t>自動</t>
  </si>
  <si>
    <t>Automaton</t>
  </si>
  <si>
    <t>在沒有外力影響下，會自行在盤面上運動的物件，盤面運動屬性接屬此類。</t>
  </si>
  <si>
    <t>Other</t>
  </si>
  <si>
    <t>代表有其他的消除方式，會特別註明。</t>
  </si>
  <si>
    <t>消除定義</t>
  </si>
  <si>
    <t>排列與生成物</t>
  </si>
  <si>
    <t>1.消除行為</t>
  </si>
  <si>
    <t>消除行為分為以下三種</t>
  </si>
  <si>
    <t>A.在盤面上將相同的元素湊成特定排列組合時，可觸發消除行為</t>
  </si>
  <si>
    <t>B.當使用道具後，對無特定排列組合的元素觸發消除行為</t>
  </si>
  <si>
    <t>C.在A和B的形況下，對特定物件產生邊消(EX: 木箱)、或直接消除(EX: 繩索)。</t>
  </si>
  <si>
    <t>2.消除點</t>
  </si>
  <si>
    <t>每個消除行為發生時，都存在至少一個消除點。</t>
  </si>
  <si>
    <t>消除點代表的是當消除行為產生時，觸發消除動作的關鍵點。</t>
  </si>
  <si>
    <r>
      <rPr>
        <rFont val="Arial"/>
        <color theme="1"/>
      </rPr>
      <t>在</t>
    </r>
    <r>
      <rPr>
        <rFont val="Arial"/>
        <color rgb="FFFF0000"/>
      </rPr>
      <t>消除行為A</t>
    </r>
    <r>
      <rPr>
        <rFont val="Arial"/>
        <color theme="1"/>
      </rPr>
      <t>發生的時候，最後觸發特定排序的物件，就是消除點。</t>
    </r>
  </si>
  <si>
    <t>在特定排列消除時生成的道具，會以消除點為基準位置生成。</t>
  </si>
  <si>
    <t>範例</t>
  </si>
  <si>
    <r>
      <rPr>
        <rFont val="Arial"/>
        <color rgb="FF000000"/>
      </rPr>
      <t>在</t>
    </r>
    <r>
      <rPr>
        <rFont val="Arial"/>
        <color rgb="FFFF0000"/>
      </rPr>
      <t>消除行為B</t>
    </r>
    <r>
      <rPr>
        <rFont val="Arial"/>
        <color rgb="FF000000"/>
      </rPr>
      <t>發生的時候，因為道具而受到消除的無特定排序組合的物件，消除點都為物件本體。</t>
    </r>
  </si>
  <si>
    <t>即便因為道具使用，而消除了複數物件。每個物件的消除都為單一獨立的消除行為。</t>
  </si>
  <si>
    <r>
      <rPr>
        <rFont val="Arial"/>
        <color rgb="FF000000"/>
      </rPr>
      <t>在</t>
    </r>
    <r>
      <rPr>
        <rFont val="Arial"/>
        <color rgb="FFFF0000"/>
      </rPr>
      <t>消除行為C</t>
    </r>
    <r>
      <rPr>
        <rFont val="Arial"/>
        <color rgb="FF000000"/>
      </rPr>
      <t>發生的時候，因為物件受到邊消或直接消除的位置為消除點。</t>
    </r>
  </si>
  <si>
    <t>若是單一物件在多個位置同時發生消除(發生於尺寸大於1*1的物件)，</t>
  </si>
  <si>
    <r>
      <rPr>
        <rFont val="Arial"/>
        <color rgb="FF000000"/>
      </rPr>
      <t>則從被消除的物件的每個位置隨機則依作為消除點。</t>
    </r>
    <r>
      <rPr>
        <rFont val="Arial"/>
        <color rgb="FFFF0000"/>
      </rPr>
      <t>(確認是否會出現問題)</t>
    </r>
  </si>
  <si>
    <t>3.消除次數</t>
  </si>
  <si>
    <t>A.單次消除</t>
  </si>
  <si>
    <t>設定為單次消除的障礙物，在一次消除行為下，只能被消除一次。</t>
  </si>
  <si>
    <t>由該次消除行為引發的道具連鎖反應或複數消除地塊，都屬於該次消除。</t>
  </si>
  <si>
    <t>B.多次消除</t>
  </si>
  <si>
    <t>障礙物受到幾次消除，就會造成幾次消除，沒有其他條件。</t>
  </si>
  <si>
    <t>C.混合消除</t>
  </si>
  <si>
    <t>單一障礙物中，如果存在單次消除的層級和多次消除的層級，定義為混合消除，避免混淆。</t>
  </si>
  <si>
    <t>靜態圖檔名：</t>
  </si>
  <si>
    <t>SimpleChip_Maruko</t>
  </si>
  <si>
    <t>返回清單</t>
  </si>
  <si>
    <t>元素關鍵字</t>
  </si>
  <si>
    <t>同場加映</t>
  </si>
  <si>
    <t>元素特性規則</t>
  </si>
  <si>
    <t>「元素生成器」特性規則</t>
  </si>
  <si>
    <t>描述</t>
  </si>
  <si>
    <t>元素生成器為透明、無碰撞的無形物件。</t>
  </si>
  <si>
    <t>可被所有物件覆蓋，可在所有地形設置。</t>
  </si>
  <si>
    <t>在生成器存在的地塊為空時，開始生成元素。</t>
  </si>
  <si>
    <t>可生成的元素顏色自動和盤面元素顏色設定參數同步。</t>
  </si>
  <si>
    <t>在預設狀態下，將隨機生成盤面設定的元素顏色，且各顏色的生成機率均等。</t>
  </si>
  <si>
    <t>元素會由該地塊行進方向的反方向邊緣出現。</t>
  </si>
  <si>
    <t>用相同的元素湊齊特定排列後，可以自我消除，並根據排列而於消除點生成不同的道具。</t>
  </si>
  <si>
    <r>
      <rPr>
        <color rgb="FF000000"/>
      </rPr>
      <t>詳細規則見下方</t>
    </r>
    <r>
      <rPr>
        <color rgb="FF1155CC"/>
        <u/>
      </rPr>
      <t>元素排列及生成物</t>
    </r>
    <r>
      <rPr>
        <color rgb="FF000000"/>
      </rPr>
      <t>說明</t>
    </r>
  </si>
  <si>
    <t>元素生成器參數</t>
  </si>
  <si>
    <t>可設定生成的不同顏色元素的機率，預設為X種色機率均等。X=盤面元素顏色數量。</t>
  </si>
  <si>
    <r>
      <rPr>
        <rFont val="Arial"/>
        <color theme="1"/>
      </rPr>
      <t>元素生成器也須設定可掉落其他的物件，生成器可編輯的參數大致如下，</t>
    </r>
    <r>
      <rPr>
        <rFont val="Arial"/>
        <color rgb="FFFF0000"/>
      </rPr>
      <t>但目前不用</t>
    </r>
    <r>
      <rPr>
        <rFont val="Arial"/>
        <color theme="1"/>
      </rPr>
      <t>。</t>
    </r>
  </si>
  <si>
    <t>元素特性參數</t>
  </si>
  <si>
    <t>A</t>
  </si>
  <si>
    <t>不同的物件機率</t>
  </si>
  <si>
    <t>(預設所有非元素物件的掉落機率為0)</t>
  </si>
  <si>
    <t>A.顏色</t>
  </si>
  <si>
    <t>紅</t>
  </si>
  <si>
    <t>B</t>
  </si>
  <si>
    <t>物件的層數</t>
  </si>
  <si>
    <t>(如果該物件有層數)</t>
  </si>
  <si>
    <t>綠</t>
  </si>
  <si>
    <t>C</t>
  </si>
  <si>
    <t>單一生成器生成該物件的最大數量</t>
  </si>
  <si>
    <t>(預設為無限制)</t>
  </si>
  <si>
    <t>藍</t>
  </si>
  <si>
    <t>D</t>
  </si>
  <si>
    <t>全局生成器生成該物件的最大數量(預設為無限制)</t>
  </si>
  <si>
    <t>黃</t>
  </si>
  <si>
    <t>紫</t>
  </si>
  <si>
    <t>棕</t>
  </si>
  <si>
    <t>編輯器可設定盤面的元素顏色數量，數量範圍是3~5種。</t>
  </si>
  <si>
    <t>編輯器也可針對盤面上的元素編輯顏色，預設為隨機。</t>
  </si>
  <si>
    <t>預設由上至下增加。</t>
  </si>
  <si>
    <t>如：3色，則預設為紅、綠、藍；四色，則預設為紅、綠、藍、黃....依此類推。</t>
  </si>
  <si>
    <t>編輯器可設定生成器的各顏色元素生成機率，預設為各種顏色均等。</t>
  </si>
  <si>
    <t>B.元素的消除排列及生成物</t>
  </si>
  <si>
    <t>觸發優先級：</t>
  </si>
  <si>
    <t>5消 &gt; 4消 &gt; 3消</t>
  </si>
  <si>
    <t>紙風車 &gt; 炸彈 &gt; 火箭 &gt; 紙飛機 &gt; 三消</t>
  </si>
  <si>
    <t>以上的道具產生於消除點，消除點相關規則見消除定義頁籤</t>
  </si>
  <si>
    <t>HorizontalGrayBomb_Maruko_01、VerticalGrayBomb_Maruko_01</t>
  </si>
  <si>
    <t>關鍵字</t>
  </si>
  <si>
    <t>特性規則</t>
  </si>
  <si>
    <t>特殊的是在盤面上透過元素生成的火箭，和拼湊方向不同。</t>
  </si>
  <si>
    <t>橫向拼湊而成的4消，生成的是垂直火箭。</t>
  </si>
  <si>
    <t>直向拼湊而成的4消，生成的是水平火箭。</t>
  </si>
  <si>
    <t>消除效果是由道具使用點中心往外延伸，具有些微的時間差。</t>
  </si>
  <si>
    <t>當玩家將火箭往其他元素滑動後，火箭會與其他道具結合後立刻使用，並產生更強的效果。</t>
  </si>
  <si>
    <t>火箭、紙飛機合成</t>
  </si>
  <si>
    <t>會先觸發火箭的上下左右四格消除後，飛到新位置使用火箭。</t>
  </si>
  <si>
    <t>火箭、火箭合成</t>
  </si>
  <si>
    <t>在結合的地塊同時產生垂直火箭和水平火箭的效果，造成十字型的範圍消除。</t>
  </si>
  <si>
    <t>火箭、炸彈合成</t>
  </si>
  <si>
    <t>以結合的地塊為中心的九宮格，同時產生垂直火箭和水平火箭的效果，造成寬度為3的十字型範圍消除。</t>
  </si>
  <si>
    <t>火箭、紙風車合成</t>
  </si>
  <si>
    <t>在結合的地塊先觸發紙風車選取元素的效果，隨後將選取的元素全部轉變為火箭後使用。</t>
  </si>
  <si>
    <t>特性參數</t>
  </si>
  <si>
    <t>編輯器可設定生成器的火箭生成機率和生成火箭的方向，預設機率為0。</t>
  </si>
  <si>
    <t>編輯器可設定單一生成器的火箭最大生成數量，預設為無限制。</t>
  </si>
  <si>
    <t>編輯器可設定全局火箭最大生成數量，預設為無限制。</t>
  </si>
  <si>
    <t>GrayBomb_Maruko</t>
  </si>
  <si>
    <t>生成炸彈的元素排列如下：</t>
  </si>
  <si>
    <t>爆炸範圍示意圖如下</t>
  </si>
  <si>
    <t>當玩家將火箭往其他道具滑動後，火箭會與其他道具合成後立刻使用，並產生更強的效果。</t>
  </si>
  <si>
    <t>炸彈、紙飛機合成</t>
  </si>
  <si>
    <t>會先觸發火箭的上下左右四格消除後，飛到新位置使用炸彈。</t>
  </si>
  <si>
    <t>炸彈、火箭合成</t>
  </si>
  <si>
    <t>見右圖</t>
  </si>
  <si>
    <t>炸彈、炸彈合成</t>
  </si>
  <si>
    <t>在結合的地塊產生更大的消除範圍。</t>
  </si>
  <si>
    <t>炸彈、紙風車合成</t>
  </si>
  <si>
    <t>在合成的物件位置先觸發紙風車選取元素的效果，隨後將選取的元素全部轉變為炸彈後使用。</t>
  </si>
  <si>
    <t>編輯器可設定生成器的炸彈生成機率，預設機率為0。</t>
  </si>
  <si>
    <t>編輯器可設定單一生成器的炸彈最大生成數量，預設為無限制。</t>
  </si>
  <si>
    <t>編輯器可設定全局炸彈最大生成數量，預設為無限制。</t>
  </si>
  <si>
    <t>紙飛機</t>
  </si>
  <si>
    <t>AirPlaneBomb_Y</t>
  </si>
  <si>
    <r>
      <rPr>
        <rFont val="Arial"/>
        <color theme="1"/>
      </rPr>
      <t>當紙飛機使用時，會在道具使用點消除上下左右四個鄰近物件後起飛一台紙飛機。</t>
    </r>
    <r>
      <rPr>
        <rFont val="Arial"/>
        <color rgb="FFFF0000"/>
      </rPr>
      <t>(見右圖)</t>
    </r>
  </si>
  <si>
    <t>紙飛機消除效果</t>
  </si>
  <si>
    <t>起飛的紙飛機會根據盤面物件的優先級而選定目標，並在撥放飛行動作後，擊中目標並消除。</t>
  </si>
  <si>
    <t>根據盤面十字中心線，</t>
  </si>
  <si>
    <t>中心線以上觸發(包含中心線)，則向下起飛。</t>
  </si>
  <si>
    <t>中心線以下觸發，則向上起飛。</t>
  </si>
  <si>
    <t>中心線以左觸發(包含中心線)，則向右起飛。</t>
  </si>
  <si>
    <t>中心線以右觸發，則向左起飛。</t>
  </si>
  <si>
    <t>當玩家將紙飛機往其他道具滑動後，紙飛機會與其他道具結合並立刻使用，並產生更強的效果。</t>
  </si>
  <si>
    <t>紙飛機、紙飛機合成</t>
  </si>
  <si>
    <r>
      <rPr>
        <rFont val="Arial"/>
        <color theme="1"/>
      </rPr>
      <t>會先觸發合成點上下左右四格消除後，起飛三台紙飛機。</t>
    </r>
    <r>
      <rPr>
        <rFont val="Arial"/>
        <color rgb="FFFF0000"/>
      </rPr>
      <t>(見右圖)</t>
    </r>
  </si>
  <si>
    <t>紙飛機+紙飛機消除效果</t>
  </si>
  <si>
    <t>紙飛機、火箭合成</t>
  </si>
  <si>
    <t>會先觸發合成點上下左右四格消除後，飛到新位置使用火箭。</t>
  </si>
  <si>
    <t>紙飛機、炸彈合成</t>
  </si>
  <si>
    <t>會先觸發合成點上下左右四格消除後，飛到新位置使用炸彈。</t>
  </si>
  <si>
    <t>紙飛機、紙風車合成</t>
  </si>
  <si>
    <t>在合成的物件位置先觸發紙風車選取元素的效果，隨後將選取的元素全部轉變為紙飛機後使用。</t>
  </si>
  <si>
    <t>紙飛機優先級</t>
  </si>
  <si>
    <t>紙飛機起飛時，會根據盤面上物件本身的權重和額外加權計算後，選定加權最高的目標並撞擊。</t>
  </si>
  <si>
    <t>(目前)物件權重表，0=不會被紙飛機撞擊</t>
  </si>
  <si>
    <t>元素</t>
  </si>
  <si>
    <t>木箱</t>
  </si>
  <si>
    <t>甜甜圈</t>
  </si>
  <si>
    <t>(必為0，特殊計算方式，詳見甜甜圈頁籤)</t>
  </si>
  <si>
    <t>餅乾</t>
  </si>
  <si>
    <t>果凍</t>
  </si>
  <si>
    <t>櫻桃</t>
  </si>
  <si>
    <t>額外加權</t>
  </si>
  <si>
    <t>物件為通關目標</t>
  </si>
  <si>
    <t>當盤面物件為通關目標時，該物件的權重計算+100。</t>
  </si>
  <si>
    <t>物件層數=1</t>
  </si>
  <si>
    <t>當障礙物件的層數為1時，權重+1。</t>
  </si>
  <si>
    <t>只有在可被消除的物件上適用。</t>
  </si>
  <si>
    <t>元素和道具物件不受此規則影響，階段型障礙物目前先不考慮。</t>
  </si>
  <si>
    <t>多層物件</t>
  </si>
  <si>
    <t>權重相加</t>
  </si>
  <si>
    <t>當同一地塊有多個物件疊加時，該格權重為所有物件加總。</t>
  </si>
  <si>
    <t>木箱這種能遮蔽視野的物件亦同。</t>
  </si>
  <si>
    <t>當多層物件獲得額外加權時，則一併加總計算。</t>
  </si>
  <si>
    <t>編輯器可設定生成器的紙飛機生成機率，預設機率為0。</t>
  </si>
  <si>
    <t>編輯器可設定單一生成器的紙飛機最大生成數量，預設為無限制。</t>
  </si>
  <si>
    <t>編輯器可設定全局紙飛機最大生成數量，預設為無限制。</t>
  </si>
  <si>
    <t>Cake_Maruko</t>
  </si>
  <si>
    <t>當紙風車使用時，會根據已下情況而產生不同的效果：</t>
  </si>
  <si>
    <t>紙風車生成的元素排列方式：</t>
  </si>
  <si>
    <t>直接使用</t>
  </si>
  <si>
    <t>會選取當前盤面上，數量最多的顏色元素並消除。</t>
  </si>
  <si>
    <t>被其他道具消除後觸發使用</t>
  </si>
  <si>
    <t>同A</t>
  </si>
  <si>
    <t>和非元素物件交換後使用</t>
  </si>
  <si>
    <t>和目標元素交換</t>
  </si>
  <si>
    <t>會將盤面上的目標元素全部消除。</t>
  </si>
  <si>
    <t>E</t>
  </si>
  <si>
    <t>和目標道具合成</t>
  </si>
  <si>
    <t>會將盤面上最多的元素轉變為目標道具後直接使用。</t>
  </si>
  <si>
    <t>F</t>
  </si>
  <si>
    <t>和紙風車合成</t>
  </si>
  <si>
    <t>會將盤面上所有物件消除1層。</t>
  </si>
  <si>
    <t>編輯器可設定生成器的紙風車生成機率，預設機率為0。</t>
  </si>
  <si>
    <t>編輯器可設定單一生成器的紙風車最大生成數量，預設為無限制。</t>
  </si>
  <si>
    <t>編輯器可設定全局紙風車最大生成數量，預設為無限制。</t>
  </si>
  <si>
    <t>補充說明</t>
  </si>
  <si>
    <t>當同時觸發兩個紙風車時</t>
  </si>
  <si>
    <t>盤面元素會在在第一個紙風車結束後補滿，</t>
  </si>
  <si>
    <t>並讓第二個紙風車可以在啟動後正常消除盤面元素。</t>
  </si>
  <si>
    <t>(小丸子會在第一個紙風車結束後，不補滿盤面的狀況下啟動第二個紙風車)</t>
  </si>
  <si>
    <t>Sandwich_Box</t>
  </si>
  <si>
    <t>編輯器可設定盤面的木箱層數，層數範圍是1~4。</t>
  </si>
  <si>
    <t>木箱每層的外型都會有變化。</t>
  </si>
  <si>
    <t>編輯器可設定木箱為盤面的通關目標及所需數量</t>
  </si>
  <si>
    <t>第一層紙箱上什麼都沒有</t>
  </si>
  <si>
    <t>第二層紙箱上貼縱向封箱膠帶</t>
  </si>
  <si>
    <t>第三層紙箱上加貼橫向封箱膠帶，膠帶變為十字形</t>
  </si>
  <si>
    <t>第四層紙箱上加貼國際紅白邊框寄件單</t>
  </si>
  <si>
    <t>木箱現在和一般元素同高度，彼此不能覆蓋，請留意。</t>
  </si>
  <si>
    <t>編輯器可設定盤面的草皮層數，層數範圍是1~2。</t>
  </si>
  <si>
    <t>草皮最高有2層，1、2層外觀、顏色略有不同，方便玩家辨識比較層數。</t>
  </si>
  <si>
    <t>編輯器可設定草皮為盤面的通關目標及所需數量</t>
  </si>
  <si>
    <t>第一層看起來顏色較淺，且積水部分分散，看起來積水少而且淺。</t>
  </si>
  <si>
    <t>第二層顏色深一點點，且積水看起來比較多，積水區域完整。</t>
  </si>
  <si>
    <t>水漥在與其他水漥在上下左右相鄰的地塊上連接時，邊界會融合，看起來像一整塊水漥。</t>
  </si>
  <si>
    <t>小丸子專案內無類似靜態圖</t>
  </si>
  <si>
    <t>餐具櫃分為兩個層級，第一層是櫃子關閉狀態，第二層是櫃子打開狀態：</t>
  </si>
  <si>
    <t>第一層-櫃子關閉</t>
  </si>
  <si>
    <t>此時餐具櫃的層級屬於單次消除，在一次消除行為下，餐具櫃只能被消除一次，不會影響第二層的數量計算。</t>
  </si>
  <si>
    <t>由該次消除行為引起的連鎖反應或複數消除地塊，都算是該單次消除行為。</t>
  </si>
  <si>
    <t>第二層-櫃子打開</t>
  </si>
  <si>
    <t>此時餐具櫃的層級屬於多次消除，餐具櫃受到幾次消除，就會消除幾個盤子，沒有其他條件。</t>
  </si>
  <si>
    <t>餐具櫃內固定有10個盤子，不可調整。</t>
  </si>
  <si>
    <t>編輯器可設定礦泉水櫃為盤面的通關目標及所需數量</t>
  </si>
  <si>
    <t>固定層數</t>
  </si>
  <si>
    <t>第一層，櫃門消失，櫃子成開放式狀態，陳設的10瓶礦泉水可被被消除。</t>
  </si>
  <si>
    <t>消除時，礦泉水會彈出後飛往通關資訊區。</t>
  </si>
  <si>
    <t>第二層，礦泉水櫃有透明櫃門，被消除時櫃門會彈飛。</t>
  </si>
  <si>
    <t>櫃內的飲料都是同一種透明的礦泉水，共10瓶，陳列方式可參考右側櫥櫃內的盤子擺放方式。</t>
  </si>
  <si>
    <t>Potted Plants</t>
  </si>
  <si>
    <t>雞蛋糕台在受到鄰邊消除及道具消除時，會生產對應消除次數的特定通關目標物。</t>
  </si>
  <si>
    <t>編輯器可設定生產物為盤面的通關目標及所需數量</t>
  </si>
  <si>
    <t>當對郵戳印章受到消除時，印章會蓋下並生產一張有郵戳的明信片讓玩家收集。</t>
  </si>
  <si>
    <t>明信片會彈出後飛往通關資訊區。</t>
  </si>
  <si>
    <t>當明信片收集額滿時，郵戳印章會放在地塊上，郵戳下也不再有空白明信片。</t>
  </si>
  <si>
    <t>Cookie</t>
  </si>
  <si>
    <t>餅乾1的層數固定為1。</t>
  </si>
  <si>
    <t>編輯器可設定生成器的餅乾1生成機率。</t>
  </si>
  <si>
    <t>編輯器可設定單一生成器的餅乾1最大生成數量，預設為無限制。</t>
  </si>
  <si>
    <t>編輯器可設定全局餅乾1最大生成數量，預設為無限制。</t>
  </si>
  <si>
    <t>編輯器可設定餅乾為盤面的通關目標及所需數量。</t>
  </si>
  <si>
    <t>只有一層，受到消除後直接破碎後消失</t>
  </si>
  <si>
    <t>目前會將部分障礙物，做成不同層數並用不同外形包裝。</t>
  </si>
  <si>
    <t>可以節省製作時間並達到視覺上變化的效果。</t>
  </si>
  <si>
    <t>藥水櫃內的藥水瓶數量固定為4瓶。</t>
  </si>
  <si>
    <t>藥水櫃分為兩個層級，第一層是櫃子關閉狀態，第二層是櫃子打開狀態：</t>
  </si>
  <si>
    <t>此時藥水櫃為單次消除，消除1次後櫃子打開。</t>
  </si>
  <si>
    <t>此時藥水櫃仍為單次消除。</t>
  </si>
  <si>
    <t>在飲料櫃周圍消除元素，可消除櫃內對應元素顏色的飲料瓶。</t>
  </si>
  <si>
    <t>若使用道具消除，則隨機則一藥水消除。</t>
  </si>
  <si>
    <t>在全部藥水消除後，藥水櫃也消除在盤面上。</t>
  </si>
  <si>
    <t>可編輯需要消除的藥水的顏色。</t>
  </si>
  <si>
    <t>初始預設藥水櫃內的藥水顏色為元素顏色0、1、2、3各1瓶</t>
  </si>
  <si>
    <t>藥水的順序按照ID大小，由左上至右下排列。</t>
  </si>
  <si>
    <t>受道具消除時的順序為隨機決定。</t>
  </si>
  <si>
    <t>編輯器可設定藥水櫃為盤面的通關目標及所需數量。</t>
  </si>
  <si>
    <t>第一層，櫃門消失，櫃子成開放式狀態，陳設的四色飲料瓶可被消除。</t>
  </si>
  <si>
    <t>消除時，四色飲料會彈出後飛往通關資訊區。</t>
  </si>
  <si>
    <t>櫃內的飲料都按照紅、綠、黃、藍顏色陳列，共4瓶，陳列方式可參考右側櫥櫃內的盤子擺放方式。</t>
  </si>
  <si>
    <t>第二層，飲料櫃有透明櫃門，被消除時櫃門會彈飛。</t>
  </si>
  <si>
    <t>交通錐的層數可設定為1或2。</t>
  </si>
  <si>
    <t>層數為1的交通錐沒有燈，層數為2的交通錐有燈。</t>
  </si>
  <si>
    <t>編輯器可設定生成器的交通錐生成機率。</t>
  </si>
  <si>
    <t>編輯器可設定單一生成器的交通錐最大生成數量，預設為無限制。</t>
  </si>
  <si>
    <t>編輯器可設定全局交通錐最大生成數量，預設為無限制。</t>
  </si>
  <si>
    <t>編輯器可設定交通錐為盤面的通關目標及所需數量。</t>
  </si>
  <si>
    <t>第一層，單一交通錐，消除時交通錐破碎消失。</t>
  </si>
  <si>
    <t>第二層，交通錐上有一個警示燈，消除時警示燈會噴掉。</t>
  </si>
  <si>
    <t>路障的層數固定為2。</t>
  </si>
  <si>
    <t>編輯器可設定生成器的路障生成機率。</t>
  </si>
  <si>
    <t>編輯器可設定單一生成器的路障最大生成數量，預設為無限制。</t>
  </si>
  <si>
    <t>編輯器可設定全局路障最大生成數量，預設為無限制。</t>
  </si>
  <si>
    <t>編輯器可設定路障為盤面的通關目標及所需數量。</t>
  </si>
  <si>
    <t>第一層，路障會變成金屬板子被撞到的凹陷+破損狀態，被消除會被擊飛或支解。</t>
  </si>
  <si>
    <t>第二層，路障完好狀態。</t>
  </si>
  <si>
    <t>Gem</t>
  </si>
  <si>
    <t>編輯器可設定寶石1的層數為1~3層。</t>
  </si>
  <si>
    <t>編輯器可設定寶石1為盤面的通關目標及所需數量。</t>
  </si>
  <si>
    <t>第一層，罐頭易拉環會被拉起或是罐頭受到擠壓(EX:大力水手開菠菜)。</t>
  </si>
  <si>
    <t>第二層，正常罐頭外觀，有罐頭內容物的標籤在罐頭上。</t>
  </si>
  <si>
    <t>草叢層數固定為5層。</t>
  </si>
  <si>
    <t>草叢尺寸固定為2*2地塊。</t>
  </si>
  <si>
    <t>草叢每層的外型都會有變化。</t>
  </si>
  <si>
    <t>編輯器可設定草叢為盤面的通關目標及所需數量。</t>
  </si>
  <si>
    <t>5層變化分別是</t>
  </si>
  <si>
    <t>第一層，空的充氣泳池</t>
  </si>
  <si>
    <t>第二層，有水的充氣泳池</t>
  </si>
  <si>
    <t>第三層，有一個游泳圈的有水充氣泳池</t>
  </si>
  <si>
    <t>第四層，有兩個游泳圈的有水充氣泳池</t>
  </si>
  <si>
    <t>第五層，有三個游泳圈的有水充氣泳池</t>
  </si>
  <si>
    <t>每層被消除時，都會撥放消除特效後，降階為下一層。</t>
  </si>
  <si>
    <t>屬性1註解</t>
  </si>
  <si>
    <t>繩索覆蓋下層物件後，會使下層物件無法被移動和使用，</t>
  </si>
  <si>
    <t>但被繩索覆蓋的基礎元素，仍然可與周圍的基礎元素拼湊成同色消除。</t>
  </si>
  <si>
    <t>在拼湊成同色消除時，被覆蓋的元素不會被消除，但可以對繩索造成1層消除，</t>
  </si>
  <si>
    <t>且如果符合生成道具的條件，道具可以正常生成於盤面上。</t>
  </si>
  <si>
    <t>編輯器可設定繩索層數1~2層。</t>
  </si>
  <si>
    <t>(Royal Match固定層數為1)</t>
  </si>
  <si>
    <t>繩索每層的外型都會有變化。</t>
  </si>
  <si>
    <t xml:space="preserve">╲ &gt; ╳ </t>
  </si>
  <si>
    <t>編輯器可設定繩索為盤面的通關目標及所需數量。</t>
  </si>
  <si>
    <t>第一層繩索是左上到右下固定住物件
第二層繩索增加一條右上到左下，形成X型固定住物件
被消除時會撥放繩索斷裂的特效，並降到下一層。</t>
  </si>
  <si>
    <t>泥巴層數固定為1層。</t>
  </si>
  <si>
    <t>保險箱層數固定為5層。</t>
  </si>
  <si>
    <t>保險箱尺寸固定為2*2地塊。</t>
  </si>
  <si>
    <t>保險箱每層的外型都會有變化。</t>
  </si>
  <si>
    <t>Ingredients_Donus</t>
  </si>
  <si>
    <t>甜甜圈接收器特性規則</t>
  </si>
  <si>
    <t>甜甜圈接受器為地形的一種。</t>
  </si>
  <si>
    <t>甜甜圈接受器沒有美術圖，僅有局部動態特效提示玩家將甜甜圈引導至該處。</t>
  </si>
  <si>
    <t>當甜甜圈抵達該地塊(即便只有路途經過)，則甜甜圈視為被完成。</t>
  </si>
  <si>
    <t>甜甜圈完成後，盤面甜甜圈會從盤面上消失，並且通關目標將完成的甜甜圈記數。</t>
  </si>
  <si>
    <t>下圖紅框處為小丸子專案的表現方式。</t>
  </si>
  <si>
    <t>甜甜圈接收器特性參數</t>
  </si>
  <si>
    <t>編輯器可設定生成器的甜甜圈生成機率，預設機率為0。</t>
  </si>
  <si>
    <t>無</t>
  </si>
  <si>
    <t>編輯器可設定單一生成器的甜甜圈最大生成數量，預設為無限制。</t>
  </si>
  <si>
    <t>編輯器可設定全局甜甜圈最大生成數量，預設為無限制。</t>
  </si>
  <si>
    <t>編輯器可設定甜甜圈為盤面的通關目標及所需數量。</t>
  </si>
  <si>
    <t>有甜甜圈出現的盤面，必須要設置甜甜圈回收器，確保可通關。</t>
  </si>
  <si>
    <t>甜甜圈的紙飛機行為模式與權重計算</t>
  </si>
  <si>
    <t>甜甜圈具有兩個狀要的特性，無法被消除、要落在接收器上。</t>
  </si>
  <si>
    <t>所以紙飛機對於甜甜圈物件的作用需要特別處理。</t>
  </si>
  <si>
    <t>由於甜甜圈無法被消除，所以紙飛機不可直接將甜甜圈選為撞擊目標，避免發生無效消除行為。</t>
  </si>
  <si>
    <t>由於甜甜圈必須要落在接收器中才算完成，所以紙飛機應該要以將甜甜圈引導至接收器為目的而選定撞擊目標。</t>
  </si>
  <si>
    <t>有鑑於A、B特性，以下將對紙飛機在盤面上有甜甜圈時的行為做定義：</t>
  </si>
  <si>
    <r>
      <rPr>
        <rFont val="Arial"/>
        <color theme="1"/>
      </rPr>
      <t>當盤面上有甜甜圈時，甜甜圈</t>
    </r>
    <r>
      <rPr>
        <rFont val="Arial"/>
        <color rgb="FFFF0000"/>
      </rPr>
      <t>不會</t>
    </r>
    <r>
      <rPr>
        <rFont val="Arial"/>
        <color theme="1"/>
      </rPr>
      <t>被紙飛機選為撞擊目標。</t>
    </r>
  </si>
  <si>
    <t>(甜甜圈本體權重=0)</t>
  </si>
  <si>
    <t>當甜甜圈被物件覆蓋時，針對覆蓋物件追加額外權重。</t>
  </si>
  <si>
    <t>(覆蓋甜甜圈的物件權重+150)</t>
  </si>
  <si>
    <t>當甜甜圈下方有可消除的物件時，針對下方物件追加額外權重。</t>
  </si>
  <si>
    <t>(甜甜圈下方物件權重+100)</t>
  </si>
  <si>
    <t>(嚴格來說是沿重力方向行進的下一個地塊，但目前尚未製作重力，故以下方替代)</t>
  </si>
  <si>
    <t>上述三種狀況的權重，都可和其他權重加總計算。</t>
  </si>
  <si>
    <t>編輯器可設定彩色木箱層數1~4層。</t>
  </si>
  <si>
    <t>彩色木箱外型的顏色對應可消除的基礎元素顏色。</t>
  </si>
  <si>
    <t>彩色木箱每層的外型都會有變化。</t>
  </si>
  <si>
    <t>彩色木箱現在和一般元素同高度，彼此不能覆蓋，請留意。</t>
  </si>
  <si>
    <t>Ice_Maruko</t>
  </si>
  <si>
    <t>編輯器可設定冰塊尺寸為1*(2~9)。</t>
  </si>
  <si>
    <t>(第1層是基底，第2層開始才是冰塊)</t>
  </si>
  <si>
    <t>每受到1次消除，冰塊退縮一格。</t>
  </si>
  <si>
    <t>https://static.wikia.nocookie.net/royalmatch/images/e/e0/Ice_Tutorial_Final.gif/revision/latest?cb=20230326164938</t>
  </si>
  <si>
    <t>編輯器可設定冰塊的方向。</t>
  </si>
  <si>
    <t>(可設定上、下、左、右，差異為冰塊受到消除後往什麼方位退縮)</t>
  </si>
  <si>
    <t>編輯器可設定冰塊為盤面的通關目標及所需數量。</t>
  </si>
  <si>
    <t>編輯器可設定寶石2的層數為1~3層。</t>
  </si>
  <si>
    <t>編輯器可設定寶石2為盤面的通關目標及所需數量。</t>
  </si>
  <si>
    <t>窗簾機制</t>
  </si>
  <si>
    <t>當窗簾出現在場上時，會覆蓋且固定住下層的所有物件。</t>
  </si>
  <si>
    <t>需要玩家蒐集窗簾上顯示的對應的顏色元素及數量後，</t>
  </si>
  <si>
    <t>窗簾才會打開消失。</t>
  </si>
  <si>
    <t>https://youtu.be/9z4XE84NbUc?feature=shared&amp;t=18</t>
  </si>
  <si>
    <t>編輯器可設定窗簾需要蒐集的顏色元素及數量。</t>
  </si>
  <si>
    <t>窗簾尺寸固定為3*3地塊。</t>
  </si>
  <si>
    <t>窗簾的外型有明確的剩餘消除次數顯示。</t>
  </si>
  <si>
    <t>窗簾無法當作通關目標。</t>
  </si>
  <si>
    <t>亂亂背包</t>
  </si>
  <si>
    <t>野餐墊+野餐墊捆</t>
  </si>
  <si>
    <t>Carpet、Carpet Bundle</t>
  </si>
  <si>
    <t>野餐墊物件特性規則</t>
  </si>
  <si>
    <t>野餐墊捆物件特性規則</t>
  </si>
  <si>
    <t>只能用編輯器設定在關卡盤面上，不可透過生成器生成。</t>
  </si>
  <si>
    <t>不可位移。</t>
  </si>
  <si>
    <t>可位移。</t>
  </si>
  <si>
    <t>野餐墊受到消除行為時，只會延伸，不會被消除。</t>
  </si>
  <si>
    <t>野餐墊捆最高有4層，每一層的外觀會略有不同，方便玩家辨識比較剩餘層數。</t>
  </si>
  <si>
    <t>野餐墊無法延伸至有不可位移的障礙物的地塊上。</t>
  </si>
  <si>
    <t>當野餐墊捆被消除，層數由1為0時，野餐墊捆會往上下左右噴射延伸野餐墊直至盤面邊緣。</t>
  </si>
  <si>
    <t>(如：木箱、繩索，未來如果有雞蛋糕台、彩虹等不可消除也不可位移的物件，則野餐墊通關目標須排出這些地塊)</t>
  </si>
  <si>
    <t>噴射路徑上的所有物件(元素、障礙物、道具)受到消除1次的效果。</t>
  </si>
  <si>
    <t>在消除行為發生並且消除範圍有部分和野餐墊重疊時，</t>
  </si>
  <si>
    <t>消除範圍以野餐墊捆為中心點，由內而外擴散，有時間差。</t>
  </si>
  <si>
    <r>
      <rPr>
        <rFont val="Arial"/>
        <color rgb="FF000000"/>
      </rPr>
      <t>若消除範圍沒有時間差(如元素消除)，則野餐墊延伸至消除</t>
    </r>
    <r>
      <rPr>
        <rFont val="Arial"/>
        <color rgb="FFFF0000"/>
      </rPr>
      <t>範圍內的所有地塊</t>
    </r>
    <r>
      <rPr>
        <rFont val="Arial"/>
        <color rgb="FF000000"/>
      </rPr>
      <t>。</t>
    </r>
  </si>
  <si>
    <t>野餐墊捆特性參數</t>
  </si>
  <si>
    <t>編輯器可設定盤面的野餐墊捆層數，層數範圍是1~4。</t>
  </si>
  <si>
    <r>
      <rPr>
        <rFont val="Arial"/>
        <color theme="1"/>
      </rPr>
      <t>若消除範圍有時間差(如火箭)，則野餐墊延伸至</t>
    </r>
    <r>
      <rPr>
        <rFont val="Arial"/>
        <color rgb="FFFF0000"/>
      </rPr>
      <t>消除範圍經過野餐墊後的地塊</t>
    </r>
    <r>
      <rPr>
        <rFont val="Arial"/>
        <color theme="1"/>
      </rPr>
      <t>。</t>
    </r>
  </si>
  <si>
    <t>若B狀況，野餐墊地塊上有不可位移的障礙物，仍會將野餐墊延伸至後續地塊，不受影響。</t>
  </si>
  <si>
    <t>野餐墊特性參數</t>
  </si>
  <si>
    <t>果凍+櫻桃</t>
  </si>
  <si>
    <t>Jelly、Cherry</t>
  </si>
  <si>
    <t>果凍關鍵字</t>
  </si>
  <si>
    <t>櫻桃關鍵字</t>
  </si>
  <si>
    <t>障礙物、不可位移、多層、可覆蓋其他物件</t>
  </si>
  <si>
    <t>不可消除、無接層、特殊</t>
  </si>
  <si>
    <t>果凍物件特性規則</t>
  </si>
  <si>
    <t>櫻桃特性規則</t>
  </si>
  <si>
    <t>櫻桃為特殊物件，層數為0。</t>
  </si>
  <si>
    <t>當櫻桃單獨存在時，會直接成為已完成狀態並從盤面上消失。</t>
  </si>
  <si>
    <t>當元素在果凍鄰近地塊被消除時，會對果凍產生消除效果。</t>
  </si>
  <si>
    <t>所以企劃/關卡設計人員應避免讓櫻桃單獨設定在盤面上。</t>
  </si>
  <si>
    <t>果凍只能覆蓋可位移的物件。</t>
  </si>
  <si>
    <r>
      <rPr>
        <rFont val="Arial"/>
        <color theme="1"/>
      </rPr>
      <t>當果凍覆蓋物件時，被覆蓋的物件</t>
    </r>
    <r>
      <rPr>
        <rFont val="Arial"/>
        <color rgb="FFFF0000"/>
      </rPr>
      <t>可以</t>
    </r>
    <r>
      <rPr>
        <rFont val="Arial"/>
        <color theme="1"/>
      </rPr>
      <t>被玩家看到。(因為果凍是半透明的)</t>
    </r>
  </si>
  <si>
    <t>正常的狀況下，櫻桃必須被覆蓋於果凍之下，並設定成為通關目標。</t>
  </si>
  <si>
    <t>當果凍覆蓋物件時，被覆蓋的物件無法與盤面有任何互動，直到果凍被消除。</t>
  </si>
  <si>
    <t>當果凍覆蓋物件時，被覆蓋的物件也不可位移，直到果凍被消除。</t>
  </si>
  <si>
    <t>當果凍位於傳送口時，無法被傳送。</t>
  </si>
  <si>
    <t>櫻桃特性參數</t>
  </si>
  <si>
    <t>果凍最高有4層，每一層的外觀會略有不同，方便玩家辨識比較剩餘層數。</t>
  </si>
  <si>
    <t>果凍特性參數</t>
  </si>
  <si>
    <t>編輯器可設定盤面的果凍層數，層數範圍是1~4。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</si>
</sst>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1">
    <font>
      <sz val="10.0"/>
      <color rgb="FF000000"/>
      <name val="Arial"/>
      <scheme val="minor"/>
    </font>
    <font>
      <b/>
      <sz val="12.0"/>
      <color theme="1"/>
      <name val="Microsoft JhengHei"/>
    </font>
    <font/>
    <font>
      <sz val="12.0"/>
      <color theme="1"/>
      <name val="Microsoft JhengHei"/>
    </font>
    <font>
      <sz val="11.0"/>
      <color theme="1"/>
      <name val="Microsoft JhengHei"/>
    </font>
    <font>
      <color theme="1"/>
      <name val="Microsoft JhengHei"/>
    </font>
    <font>
      <u/>
      <color rgb="FF0000FF"/>
      <name val="Microsoft JhengHei"/>
    </font>
    <font>
      <u/>
      <color rgb="FF1155CC"/>
      <name val="Microsoft JhengHei"/>
    </font>
    <font>
      <color theme="1"/>
      <name val="Arial"/>
      <scheme val="minor"/>
    </font>
    <font>
      <u/>
      <color rgb="FF1155CC"/>
      <name val="Microsoft JhengHei"/>
    </font>
    <font>
      <u/>
      <color theme="1"/>
      <name val="Arial"/>
      <scheme val="minor"/>
    </font>
    <font>
      <u/>
      <color rgb="FF0000FF"/>
      <name val="Microsoft JhengHei"/>
    </font>
    <font>
      <u/>
      <color rgb="FF1155CC"/>
      <name val="Microsoft JhengHei"/>
    </font>
    <font>
      <u/>
      <color rgb="FF0000FF"/>
    </font>
    <font>
      <u/>
      <color rgb="FF1155CC"/>
      <name val="Microsoft JhengHei"/>
    </font>
    <font>
      <u/>
      <color rgb="FF1155CC"/>
      <name val="Microsoft JhengHei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color rgb="FFFFFFFF"/>
      <name val="Microsoft JhengHei"/>
    </font>
    <font>
      <b/>
      <color theme="1"/>
      <name val="Arial"/>
      <scheme val="minor"/>
    </font>
    <font>
      <sz val="11.0"/>
      <color rgb="FF000000"/>
      <name val="&quot;Microsoft JhengHei Light&quot;"/>
    </font>
    <font>
      <color rgb="FFFF0000"/>
      <name val="Arial"/>
      <scheme val="minor"/>
    </font>
    <font>
      <color rgb="FF000000"/>
      <name val="Arial"/>
      <scheme val="minor"/>
    </font>
    <font>
      <u/>
      <color rgb="FF0000FF"/>
    </font>
    <font>
      <color rgb="FF000000"/>
      <name val="Arial"/>
    </font>
    <font>
      <sz val="11.0"/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</font>
    <font>
      <sz val="9.0"/>
      <color rgb="FF1F1F1F"/>
      <name val="&quot;Google Sans&quot;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999999"/>
        <bgColor rgb="FF999999"/>
      </patternFill>
    </fill>
    <fill>
      <patternFill patternType="solid">
        <fgColor rgb="FFEBF5FF"/>
        <bgColor rgb="FFEBF5FF"/>
      </patternFill>
    </fill>
    <fill>
      <patternFill patternType="solid">
        <fgColor rgb="FFFFF7E1"/>
        <bgColor rgb="FFFFF7E1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3" fillId="0" fontId="2" numFmtId="0" xfId="0" applyBorder="1" applyFont="1"/>
    <xf borderId="2" fillId="0" fontId="2" numFmtId="0" xfId="0" applyBorder="1" applyFont="1"/>
    <xf borderId="4" fillId="0" fontId="3" numFmtId="0" xfId="0" applyAlignment="1" applyBorder="1" applyFont="1">
      <alignment horizontal="center" readingOrder="0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 vertical="bottom"/>
    </xf>
    <xf borderId="6" fillId="0" fontId="2" numFmtId="0" xfId="0" applyBorder="1" applyFont="1"/>
    <xf borderId="5" fillId="0" fontId="2" numFmtId="0" xfId="0" applyBorder="1" applyFont="1"/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vertical="bottom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/>
    </xf>
    <xf borderId="1" fillId="0" fontId="5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1" fillId="0" fontId="11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 vertical="bottom"/>
    </xf>
    <xf borderId="1" fillId="4" fontId="16" numFmtId="0" xfId="0" applyAlignment="1" applyBorder="1" applyFill="1" applyFont="1">
      <alignment horizontal="center" readingOrder="0"/>
    </xf>
    <xf borderId="1" fillId="5" fontId="17" numFmtId="0" xfId="0" applyAlignment="1" applyBorder="1" applyFill="1" applyFont="1">
      <alignment horizontal="center" readingOrder="0"/>
    </xf>
    <xf borderId="1" fillId="6" fontId="17" numFmtId="0" xfId="0" applyAlignment="1" applyBorder="1" applyFill="1" applyFont="1">
      <alignment horizontal="center" readingOrder="0"/>
    </xf>
    <xf borderId="1" fillId="7" fontId="17" numFmtId="0" xfId="0" applyAlignment="1" applyBorder="1" applyFill="1" applyFont="1">
      <alignment horizontal="center" readingOrder="0"/>
    </xf>
    <xf borderId="1" fillId="8" fontId="17" numFmtId="0" xfId="0" applyAlignment="1" applyBorder="1" applyFill="1" applyFont="1">
      <alignment horizontal="center" readingOrder="0"/>
    </xf>
    <xf borderId="1" fillId="3" fontId="17" numFmtId="0" xfId="0" applyAlignment="1" applyBorder="1" applyFont="1">
      <alignment horizontal="center" readingOrder="0"/>
    </xf>
    <xf borderId="1" fillId="9" fontId="17" numFmtId="0" xfId="0" applyAlignment="1" applyBorder="1" applyFill="1" applyFont="1">
      <alignment horizontal="center" readingOrder="0"/>
    </xf>
    <xf borderId="1" fillId="10" fontId="17" numFmtId="0" xfId="0" applyAlignment="1" applyBorder="1" applyFill="1" applyFont="1">
      <alignment horizontal="center" readingOrder="0"/>
    </xf>
    <xf borderId="1" fillId="11" fontId="18" numFmtId="0" xfId="0" applyAlignment="1" applyBorder="1" applyFill="1" applyFont="1">
      <alignment horizontal="center" readingOrder="0"/>
    </xf>
    <xf borderId="0" fillId="4" fontId="16" numFmtId="0" xfId="0" applyAlignment="1" applyFont="1">
      <alignment horizontal="center" readingOrder="0"/>
    </xf>
    <xf borderId="1" fillId="0" fontId="5" numFmtId="0" xfId="0" applyAlignment="1" applyBorder="1" applyFont="1">
      <alignment horizontal="center" vertical="bottom"/>
    </xf>
    <xf borderId="0" fillId="7" fontId="19" numFmtId="0" xfId="0" applyAlignment="1" applyFont="1">
      <alignment readingOrder="0"/>
    </xf>
    <xf borderId="0" fillId="7" fontId="8" numFmtId="0" xfId="0" applyFont="1"/>
    <xf borderId="7" fillId="0" fontId="8" numFmtId="0" xfId="0" applyAlignment="1" applyBorder="1" applyFont="1">
      <alignment readingOrder="0"/>
    </xf>
    <xf borderId="1" fillId="12" fontId="8" numFmtId="0" xfId="0" applyAlignment="1" applyBorder="1" applyFill="1" applyFont="1">
      <alignment horizontal="center" readingOrder="0"/>
    </xf>
    <xf borderId="7" fillId="12" fontId="8" numFmtId="0" xfId="0" applyAlignment="1" applyBorder="1" applyFont="1">
      <alignment readingOrder="0"/>
    </xf>
    <xf borderId="1" fillId="13" fontId="8" numFmtId="0" xfId="0" applyAlignment="1" applyBorder="1" applyFill="1" applyFont="1">
      <alignment horizontal="center" readingOrder="0"/>
    </xf>
    <xf borderId="7" fillId="13" fontId="8" numFmtId="0" xfId="0" applyAlignment="1" applyBorder="1" applyFont="1">
      <alignment readingOrder="0"/>
    </xf>
    <xf borderId="0" fillId="14" fontId="20" numFmtId="0" xfId="0" applyAlignment="1" applyFill="1" applyFont="1">
      <alignment shrinkToFit="0" vertical="bottom" wrapText="0"/>
    </xf>
    <xf borderId="0" fillId="0" fontId="8" numFmtId="0" xfId="0" applyFont="1"/>
    <xf borderId="0" fillId="14" fontId="20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7" fontId="8" numFmtId="0" xfId="0" applyAlignment="1" applyFont="1">
      <alignment readingOrder="0"/>
    </xf>
    <xf borderId="0" fillId="7" fontId="23" numFmtId="0" xfId="0" applyAlignment="1" applyFont="1">
      <alignment readingOrder="0"/>
    </xf>
    <xf borderId="0" fillId="14" fontId="24" numFmtId="0" xfId="0" applyAlignment="1" applyFont="1">
      <alignment horizontal="left" readingOrder="0"/>
    </xf>
    <xf borderId="7" fillId="15" fontId="17" numFmtId="0" xfId="0" applyAlignment="1" applyBorder="1" applyFill="1" applyFont="1">
      <alignment horizontal="center"/>
    </xf>
    <xf borderId="1" fillId="0" fontId="25" numFmtId="0" xfId="0" applyAlignment="1" applyBorder="1" applyFont="1">
      <alignment horizontal="center" readingOrder="0"/>
    </xf>
    <xf borderId="7" fillId="14" fontId="8" numFmtId="0" xfId="0" applyAlignment="1" applyBorder="1" applyFont="1">
      <alignment horizontal="center"/>
    </xf>
    <xf borderId="0" fillId="14" fontId="8" numFmtId="0" xfId="0" applyFont="1"/>
    <xf borderId="0" fillId="0" fontId="24" numFmtId="0" xfId="0" applyAlignment="1" applyFont="1">
      <alignment horizontal="left" readingOrder="0"/>
    </xf>
    <xf borderId="0" fillId="0" fontId="26" numFmtId="0" xfId="0" applyAlignment="1" applyFont="1">
      <alignment readingOrder="0"/>
    </xf>
    <xf borderId="0" fillId="5" fontId="17" numFmtId="0" xfId="0" applyAlignment="1" applyFont="1">
      <alignment horizontal="center" readingOrder="0"/>
    </xf>
    <xf borderId="0" fillId="6" fontId="17" numFmtId="0" xfId="0" applyAlignment="1" applyFont="1">
      <alignment horizontal="center" readingOrder="0"/>
    </xf>
    <xf borderId="0" fillId="7" fontId="17" numFmtId="0" xfId="0" applyAlignment="1" applyFont="1">
      <alignment horizontal="center" readingOrder="0"/>
    </xf>
    <xf borderId="0" fillId="8" fontId="17" numFmtId="0" xfId="0" applyAlignment="1" applyFont="1">
      <alignment horizontal="center" readingOrder="0"/>
    </xf>
    <xf borderId="0" fillId="3" fontId="17" numFmtId="0" xfId="0" applyAlignment="1" applyFont="1">
      <alignment horizontal="center" readingOrder="0"/>
    </xf>
    <xf borderId="0" fillId="9" fontId="17" numFmtId="0" xfId="0" applyAlignment="1" applyFont="1">
      <alignment horizontal="center" readingOrder="0"/>
    </xf>
    <xf borderId="0" fillId="10" fontId="17" numFmtId="0" xfId="0" applyAlignment="1" applyFont="1">
      <alignment horizontal="center" readingOrder="0"/>
    </xf>
    <xf borderId="0" fillId="11" fontId="18" numFmtId="0" xfId="0" applyAlignment="1" applyFont="1">
      <alignment horizontal="center" readingOrder="0"/>
    </xf>
    <xf borderId="0" fillId="0" fontId="27" numFmtId="0" xfId="0" applyAlignment="1" applyFont="1">
      <alignment vertical="bottom"/>
    </xf>
    <xf borderId="0" fillId="0" fontId="8" numFmtId="0" xfId="0" applyAlignment="1" applyFont="1">
      <alignment horizontal="right" readingOrder="0"/>
    </xf>
    <xf borderId="0" fillId="0" fontId="27" numFmtId="0" xfId="0" applyAlignment="1" applyFont="1">
      <alignment readingOrder="0" vertical="bottom"/>
    </xf>
    <xf borderId="1" fillId="0" fontId="8" numFmtId="0" xfId="0" applyAlignment="1" applyBorder="1" applyFont="1">
      <alignment horizontal="right" readingOrder="0"/>
    </xf>
    <xf borderId="0" fillId="0" fontId="27" numFmtId="0" xfId="0" applyAlignment="1" applyFont="1">
      <alignment horizontal="right" vertical="bottom"/>
    </xf>
    <xf borderId="0" fillId="7" fontId="28" numFmtId="0" xfId="0" applyAlignment="1" applyFont="1">
      <alignment readingOrder="0" vertical="bottom"/>
    </xf>
    <xf borderId="0" fillId="7" fontId="27" numFmtId="0" xfId="0" applyAlignment="1" applyFont="1">
      <alignment vertical="bottom"/>
    </xf>
    <xf borderId="0" fillId="7" fontId="2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14" fontId="29" numFmtId="0" xfId="0" applyAlignment="1" applyFont="1">
      <alignment readingOrder="0"/>
    </xf>
    <xf borderId="0" fillId="0" fontId="8" numFmtId="0" xfId="0" applyAlignment="1" applyFont="1">
      <alignment horizontal="right"/>
    </xf>
    <xf borderId="0" fillId="0" fontId="27" numFmtId="0" xfId="0" applyAlignment="1" applyFont="1">
      <alignment horizontal="right" readingOrder="0" vertical="bottom"/>
    </xf>
    <xf borderId="0" fillId="0" fontId="3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Relationship Id="rId3" Type="http://schemas.openxmlformats.org/officeDocument/2006/relationships/image" Target="../media/image13.png"/><Relationship Id="rId4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Relationship Id="rId3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Relationship Id="rId3" Type="http://schemas.openxmlformats.org/officeDocument/2006/relationships/image" Target="../media/image8.png"/><Relationship Id="rId4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21</xdr:row>
      <xdr:rowOff>190500</xdr:rowOff>
    </xdr:from>
    <xdr:ext cx="5514975" cy="1666875"/>
    <xdr:pic>
      <xdr:nvPicPr>
        <xdr:cNvPr id="0" name="image5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</xdr:row>
      <xdr:rowOff>0</xdr:rowOff>
    </xdr:from>
    <xdr:ext cx="5172075" cy="2771775"/>
    <xdr:pic>
      <xdr:nvPicPr>
        <xdr:cNvPr id="0" name="image9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638175</xdr:colOff>
      <xdr:row>58</xdr:row>
      <xdr:rowOff>200025</xdr:rowOff>
    </xdr:from>
    <xdr:ext cx="5172075" cy="2771775"/>
    <xdr:pic>
      <xdr:nvPicPr>
        <xdr:cNvPr id="0" name="image13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59</xdr:row>
      <xdr:rowOff>0</xdr:rowOff>
    </xdr:from>
    <xdr:ext cx="9239250" cy="2771775"/>
    <xdr:pic>
      <xdr:nvPicPr>
        <xdr:cNvPr id="0" name="image11.png" title="圖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52</xdr:row>
      <xdr:rowOff>190500</xdr:rowOff>
    </xdr:from>
    <xdr:ext cx="5172075" cy="5591175"/>
    <xdr:pic>
      <xdr:nvPicPr>
        <xdr:cNvPr id="0" name="image6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16</xdr:row>
      <xdr:rowOff>200025</xdr:rowOff>
    </xdr:from>
    <xdr:ext cx="3762375" cy="196215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952500</xdr:colOff>
      <xdr:row>29</xdr:row>
      <xdr:rowOff>180975</xdr:rowOff>
    </xdr:from>
    <xdr:ext cx="2752725" cy="1857375"/>
    <xdr:pic>
      <xdr:nvPicPr>
        <xdr:cNvPr id="0" name="image15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39</xdr:row>
      <xdr:rowOff>180975</xdr:rowOff>
    </xdr:from>
    <xdr:ext cx="5172075" cy="1876425"/>
    <xdr:pic>
      <xdr:nvPicPr>
        <xdr:cNvPr id="0" name="image1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49</xdr:row>
      <xdr:rowOff>180975</xdr:rowOff>
    </xdr:from>
    <xdr:ext cx="5172075" cy="1876425"/>
    <xdr:pic>
      <xdr:nvPicPr>
        <xdr:cNvPr id="0" name="image16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952500</xdr:colOff>
      <xdr:row>30</xdr:row>
      <xdr:rowOff>180975</xdr:rowOff>
    </xdr:from>
    <xdr:ext cx="2276475" cy="1609725"/>
    <xdr:pic>
      <xdr:nvPicPr>
        <xdr:cNvPr id="0" name="image4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43</xdr:row>
      <xdr:rowOff>190500</xdr:rowOff>
    </xdr:from>
    <xdr:ext cx="5172075" cy="1876425"/>
    <xdr:pic>
      <xdr:nvPicPr>
        <xdr:cNvPr id="0" name="image16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5172075" cy="1876425"/>
    <xdr:pic>
      <xdr:nvPicPr>
        <xdr:cNvPr id="0" name="image8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53</xdr:row>
      <xdr:rowOff>190500</xdr:rowOff>
    </xdr:from>
    <xdr:ext cx="5172075" cy="2457450"/>
    <xdr:pic>
      <xdr:nvPicPr>
        <xdr:cNvPr id="0" name="image2.png" title="圖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30</xdr:row>
      <xdr:rowOff>180975</xdr:rowOff>
    </xdr:from>
    <xdr:ext cx="5172075" cy="1876425"/>
    <xdr:pic>
      <xdr:nvPicPr>
        <xdr:cNvPr id="0" name="image3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952500</xdr:colOff>
      <xdr:row>41</xdr:row>
      <xdr:rowOff>180975</xdr:rowOff>
    </xdr:from>
    <xdr:ext cx="5172075" cy="1876425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30</xdr:row>
      <xdr:rowOff>200025</xdr:rowOff>
    </xdr:from>
    <xdr:ext cx="2114550" cy="1876425"/>
    <xdr:pic>
      <xdr:nvPicPr>
        <xdr:cNvPr id="0" name="image10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14</xdr:row>
      <xdr:rowOff>19050</xdr:rowOff>
    </xdr:from>
    <xdr:ext cx="1838325" cy="1981200"/>
    <xdr:pic>
      <xdr:nvPicPr>
        <xdr:cNvPr id="0" name="image14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14</xdr:row>
      <xdr:rowOff>190500</xdr:rowOff>
    </xdr:from>
    <xdr:ext cx="5438775" cy="2495550"/>
    <xdr:pic>
      <xdr:nvPicPr>
        <xdr:cNvPr id="0" name="image18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30</xdr:row>
      <xdr:rowOff>190500</xdr:rowOff>
    </xdr:from>
    <xdr:ext cx="5438775" cy="2495550"/>
    <xdr:pic>
      <xdr:nvPicPr>
        <xdr:cNvPr id="0" name="image1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royalmatch.fandom.com/wiki/Curtain" TargetMode="External"/><Relationship Id="rId22" Type="http://schemas.openxmlformats.org/officeDocument/2006/relationships/hyperlink" Target="https://royalmatch.fandom.com/wiki/Bird" TargetMode="External"/><Relationship Id="rId21" Type="http://schemas.openxmlformats.org/officeDocument/2006/relationships/hyperlink" Target="https://royalmatch.fandom.com/wiki/Match_Items" TargetMode="External"/><Relationship Id="rId24" Type="http://schemas.openxmlformats.org/officeDocument/2006/relationships/hyperlink" Target="https://royalmatch.fandom.com/wiki/TNT" TargetMode="External"/><Relationship Id="rId23" Type="http://schemas.openxmlformats.org/officeDocument/2006/relationships/hyperlink" Target="https://royalmatch.fandom.com/wiki/Rocket" TargetMode="External"/><Relationship Id="rId1" Type="http://schemas.openxmlformats.org/officeDocument/2006/relationships/hyperlink" Target="https://royalmatch.fandom.com/wiki/Box" TargetMode="External"/><Relationship Id="rId2" Type="http://schemas.openxmlformats.org/officeDocument/2006/relationships/hyperlink" Target="https://royalmatch.fandom.com/wiki/Royal_Egg" TargetMode="External"/><Relationship Id="rId3" Type="http://schemas.openxmlformats.org/officeDocument/2006/relationships/hyperlink" Target="https://royalmatch.fandom.com/wiki/Vase" TargetMode="External"/><Relationship Id="rId4" Type="http://schemas.openxmlformats.org/officeDocument/2006/relationships/hyperlink" Target="https://royalmatch.fandom.com/wiki/Vase" TargetMode="External"/><Relationship Id="rId9" Type="http://schemas.openxmlformats.org/officeDocument/2006/relationships/hyperlink" Target="https://royalmatch.fandom.com/wiki/Color_Box" TargetMode="External"/><Relationship Id="rId26" Type="http://schemas.openxmlformats.org/officeDocument/2006/relationships/hyperlink" Target="https://royalmatch.fandom.com/wiki/Light_Ball" TargetMode="External"/><Relationship Id="rId25" Type="http://schemas.openxmlformats.org/officeDocument/2006/relationships/hyperlink" Target="https://royalmatch.fandom.com/wiki/Propeller" TargetMode="External"/><Relationship Id="rId28" Type="http://schemas.openxmlformats.org/officeDocument/2006/relationships/hyperlink" Target="https://royalmatch.fandom.com/wiki/Magic_Hat" TargetMode="External"/><Relationship Id="rId27" Type="http://schemas.openxmlformats.org/officeDocument/2006/relationships/hyperlink" Target="https://royalmatch.fandom.com/wiki/Mailbox" TargetMode="External"/><Relationship Id="rId5" Type="http://schemas.openxmlformats.org/officeDocument/2006/relationships/hyperlink" Target="https://www.youtube.com/watch?v=iSaTx0T9GFw" TargetMode="External"/><Relationship Id="rId6" Type="http://schemas.openxmlformats.org/officeDocument/2006/relationships/hyperlink" Target="https://royalmatch.fandom.com/wiki/Owl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royalmatch.fandom.com/wiki/Bush" TargetMode="External"/><Relationship Id="rId8" Type="http://schemas.openxmlformats.org/officeDocument/2006/relationships/hyperlink" Target="https://royalmatch.fandom.com/wiki/Safe" TargetMode="External"/><Relationship Id="rId11" Type="http://schemas.openxmlformats.org/officeDocument/2006/relationships/hyperlink" Target="https://royalmatch.fandom.com/wiki/Oyster" TargetMode="External"/><Relationship Id="rId10" Type="http://schemas.openxmlformats.org/officeDocument/2006/relationships/hyperlink" Target="https://royalmatch.fandom.com/wiki/Porcelain_Piggy" TargetMode="External"/><Relationship Id="rId13" Type="http://schemas.openxmlformats.org/officeDocument/2006/relationships/hyperlink" Target="https://royalmatch.fandom.com/wiki/Chain" TargetMode="External"/><Relationship Id="rId12" Type="http://schemas.openxmlformats.org/officeDocument/2006/relationships/hyperlink" Target="https://royalmatch.fandom.com/wiki/Rock" TargetMode="External"/><Relationship Id="rId15" Type="http://schemas.openxmlformats.org/officeDocument/2006/relationships/hyperlink" Target="https://royalmatch.fandom.com/wiki/Grass" TargetMode="External"/><Relationship Id="rId14" Type="http://schemas.openxmlformats.org/officeDocument/2006/relationships/hyperlink" Target="https://royalmatch.fandom.com/wiki/Honey" TargetMode="External"/><Relationship Id="rId17" Type="http://schemas.openxmlformats.org/officeDocument/2006/relationships/hyperlink" Target="https://royalmatch.fandom.com/wiki/Potion_Bottle" TargetMode="External"/><Relationship Id="rId16" Type="http://schemas.openxmlformats.org/officeDocument/2006/relationships/hyperlink" Target="https://royalmatch.fandom.com/wiki/Cupboard" TargetMode="External"/><Relationship Id="rId19" Type="http://schemas.openxmlformats.org/officeDocument/2006/relationships/hyperlink" Target="https://royalmatch.fandom.com/wiki/Ice" TargetMode="External"/><Relationship Id="rId18" Type="http://schemas.openxmlformats.org/officeDocument/2006/relationships/hyperlink" Target="https://royalmatch.fandom.com/wiki/Dynamite_Box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static.wikia.nocookie.net/royalmatch/images/e/e0/Ice_Tutorial_Final.gif/revision/latest?cb=20230326164938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z4XE84NbUc?feature=shared&amp;t=18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z4XE84NbUc?feature=shared&amp;t=18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z4XE84NbUc?feature=shared&amp;t=18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z4XE84NbUc?feature=shared&amp;t=18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z4XE84NbUc?feature=shared&amp;t=18" TargetMode="Externa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5"/>
    </row>
    <row r="2">
      <c r="A2" s="6" t="s">
        <v>5</v>
      </c>
      <c r="B2" s="7">
        <v>45615.0</v>
      </c>
      <c r="C2" s="8" t="s">
        <v>6</v>
      </c>
      <c r="D2" s="9" t="s">
        <v>7</v>
      </c>
      <c r="E2" s="10" t="s">
        <v>8</v>
      </c>
      <c r="F2" s="11"/>
      <c r="G2" s="11"/>
      <c r="H2" s="11"/>
      <c r="I2" s="11"/>
      <c r="J2" s="12"/>
    </row>
    <row r="3">
      <c r="A3" s="6" t="s">
        <v>9</v>
      </c>
      <c r="B3" s="7">
        <v>45616.0</v>
      </c>
      <c r="C3" s="8" t="s">
        <v>6</v>
      </c>
      <c r="D3" s="9" t="s">
        <v>10</v>
      </c>
      <c r="E3" s="10" t="s">
        <v>11</v>
      </c>
      <c r="F3" s="11"/>
      <c r="G3" s="11"/>
      <c r="H3" s="11"/>
      <c r="I3" s="11"/>
      <c r="J3" s="12"/>
    </row>
    <row r="4">
      <c r="A4" s="6" t="s">
        <v>12</v>
      </c>
      <c r="B4" s="7">
        <v>45636.0</v>
      </c>
      <c r="C4" s="8" t="s">
        <v>6</v>
      </c>
      <c r="D4" s="9" t="s">
        <v>3</v>
      </c>
      <c r="E4" s="10" t="s">
        <v>13</v>
      </c>
      <c r="F4" s="11"/>
      <c r="G4" s="11"/>
      <c r="H4" s="11"/>
      <c r="I4" s="11"/>
      <c r="J4" s="12"/>
    </row>
    <row r="5">
      <c r="A5" s="6" t="s">
        <v>14</v>
      </c>
      <c r="B5" s="7">
        <v>45643.0</v>
      </c>
      <c r="C5" s="8" t="s">
        <v>6</v>
      </c>
      <c r="D5" s="9" t="s">
        <v>3</v>
      </c>
      <c r="E5" s="10" t="s">
        <v>15</v>
      </c>
      <c r="F5" s="11"/>
      <c r="G5" s="11"/>
      <c r="H5" s="11"/>
      <c r="I5" s="11"/>
      <c r="J5" s="12"/>
    </row>
    <row r="6">
      <c r="A6" s="6" t="s">
        <v>16</v>
      </c>
      <c r="B6" s="7">
        <v>45644.0</v>
      </c>
      <c r="C6" s="8" t="s">
        <v>6</v>
      </c>
      <c r="D6" s="9" t="s">
        <v>3</v>
      </c>
      <c r="E6" s="10" t="s">
        <v>17</v>
      </c>
      <c r="F6" s="11"/>
      <c r="G6" s="11"/>
      <c r="H6" s="11"/>
      <c r="I6" s="11"/>
      <c r="J6" s="12"/>
    </row>
    <row r="7">
      <c r="A7" s="6" t="s">
        <v>18</v>
      </c>
      <c r="B7" s="7">
        <v>45650.0</v>
      </c>
      <c r="C7" s="8" t="s">
        <v>6</v>
      </c>
      <c r="D7" s="9" t="s">
        <v>19</v>
      </c>
      <c r="E7" s="10" t="s">
        <v>20</v>
      </c>
      <c r="F7" s="11"/>
      <c r="G7" s="11"/>
      <c r="H7" s="11"/>
      <c r="I7" s="11"/>
      <c r="J7" s="12"/>
    </row>
    <row r="8">
      <c r="A8" s="6" t="s">
        <v>21</v>
      </c>
      <c r="B8" s="7">
        <v>45652.0</v>
      </c>
      <c r="C8" s="8" t="s">
        <v>6</v>
      </c>
      <c r="D8" s="9" t="s">
        <v>22</v>
      </c>
      <c r="E8" s="10" t="s">
        <v>23</v>
      </c>
      <c r="F8" s="11"/>
      <c r="G8" s="11"/>
      <c r="H8" s="11"/>
      <c r="I8" s="11"/>
      <c r="J8" s="12"/>
    </row>
    <row r="9">
      <c r="A9" s="6" t="s">
        <v>24</v>
      </c>
      <c r="B9" s="7">
        <v>45659.0</v>
      </c>
      <c r="C9" s="8" t="s">
        <v>6</v>
      </c>
      <c r="D9" s="9" t="s">
        <v>22</v>
      </c>
      <c r="E9" s="10" t="s">
        <v>25</v>
      </c>
      <c r="F9" s="11"/>
      <c r="G9" s="11"/>
      <c r="H9" s="11"/>
      <c r="I9" s="11"/>
      <c r="J9" s="12"/>
    </row>
    <row r="10">
      <c r="A10" s="6" t="s">
        <v>26</v>
      </c>
      <c r="B10" s="7">
        <v>45660.0</v>
      </c>
      <c r="C10" s="8" t="s">
        <v>6</v>
      </c>
      <c r="D10" s="9" t="s">
        <v>22</v>
      </c>
      <c r="E10" s="10" t="s">
        <v>27</v>
      </c>
      <c r="F10" s="11"/>
      <c r="G10" s="11"/>
      <c r="H10" s="11"/>
      <c r="I10" s="11"/>
      <c r="J10" s="12"/>
    </row>
    <row r="11">
      <c r="A11" s="6" t="s">
        <v>28</v>
      </c>
      <c r="B11" s="7">
        <v>45665.0</v>
      </c>
      <c r="C11" s="8" t="s">
        <v>6</v>
      </c>
      <c r="D11" s="9" t="s">
        <v>29</v>
      </c>
      <c r="E11" s="10" t="s">
        <v>30</v>
      </c>
      <c r="F11" s="11"/>
      <c r="G11" s="11"/>
      <c r="H11" s="11"/>
      <c r="I11" s="11"/>
      <c r="J11" s="12"/>
    </row>
    <row r="12">
      <c r="A12" s="6" t="s">
        <v>31</v>
      </c>
      <c r="B12" s="7">
        <v>45666.0</v>
      </c>
      <c r="C12" s="8" t="s">
        <v>6</v>
      </c>
      <c r="D12" s="9" t="s">
        <v>32</v>
      </c>
      <c r="E12" s="10"/>
      <c r="F12" s="11"/>
      <c r="G12" s="11"/>
      <c r="H12" s="11"/>
      <c r="I12" s="11"/>
      <c r="J12" s="12"/>
    </row>
    <row r="13">
      <c r="A13" s="6" t="s">
        <v>33</v>
      </c>
      <c r="B13" s="7">
        <v>45812.0</v>
      </c>
      <c r="C13" s="8" t="s">
        <v>6</v>
      </c>
      <c r="D13" s="9" t="s">
        <v>34</v>
      </c>
      <c r="E13" s="10"/>
      <c r="F13" s="11"/>
      <c r="G13" s="11"/>
      <c r="H13" s="11"/>
      <c r="I13" s="11"/>
      <c r="J13" s="12"/>
    </row>
    <row r="14">
      <c r="A14" s="6" t="s">
        <v>35</v>
      </c>
      <c r="B14" s="7">
        <v>45917.0</v>
      </c>
      <c r="C14" s="8" t="s">
        <v>6</v>
      </c>
      <c r="D14" s="9" t="s">
        <v>29</v>
      </c>
      <c r="E14" s="10" t="s">
        <v>36</v>
      </c>
      <c r="F14" s="11"/>
      <c r="G14" s="11"/>
      <c r="H14" s="11"/>
      <c r="I14" s="11"/>
      <c r="J14" s="12"/>
    </row>
    <row r="15">
      <c r="A15" s="6"/>
      <c r="B15" s="7"/>
      <c r="C15" s="8"/>
      <c r="D15" s="9"/>
      <c r="E15" s="10"/>
      <c r="F15" s="11"/>
      <c r="G15" s="11"/>
      <c r="H15" s="11"/>
      <c r="I15" s="11"/>
      <c r="J15" s="12"/>
    </row>
  </sheetData>
  <mergeCells count="16">
    <mergeCell ref="E1:J1"/>
    <mergeCell ref="E2:J2"/>
    <mergeCell ref="E3:J3"/>
    <mergeCell ref="E4:J4"/>
    <mergeCell ref="E5:J5"/>
    <mergeCell ref="E6:J6"/>
    <mergeCell ref="E7:J7"/>
    <mergeCell ref="E15:J15"/>
    <mergeCell ref="E16:J16"/>
    <mergeCell ref="E8:J8"/>
    <mergeCell ref="E9:J9"/>
    <mergeCell ref="E10:J10"/>
    <mergeCell ref="E11:J11"/>
    <mergeCell ref="E12:J12"/>
    <mergeCell ref="E13:J13"/>
    <mergeCell ref="E14:J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  <col customWidth="1" hidden="1" min="5" max="5" width="14.38"/>
    <col customWidth="1" min="6" max="6" width="14.38"/>
    <col hidden="1" min="7" max="9" width="12.63"/>
    <col customWidth="1" min="10" max="10" width="14.5"/>
  </cols>
  <sheetData>
    <row r="1">
      <c r="A1" s="13">
        <v>6.0</v>
      </c>
      <c r="B1" s="14" t="s">
        <v>37</v>
      </c>
      <c r="C1" s="13" t="s">
        <v>38</v>
      </c>
      <c r="D1" s="13"/>
      <c r="E1" s="13"/>
      <c r="F1" s="13" t="s">
        <v>39</v>
      </c>
      <c r="G1" s="13" t="s">
        <v>40</v>
      </c>
      <c r="H1" s="13" t="s">
        <v>41</v>
      </c>
      <c r="I1" s="13" t="s">
        <v>42</v>
      </c>
      <c r="J1" s="15" t="s">
        <v>43</v>
      </c>
      <c r="K1" s="16">
        <v>1.0</v>
      </c>
      <c r="M1" s="16" t="s">
        <v>44</v>
      </c>
      <c r="O1" s="16" t="s">
        <v>45</v>
      </c>
      <c r="P1" s="16"/>
    </row>
    <row r="2">
      <c r="A2" s="13">
        <v>10.0</v>
      </c>
      <c r="B2" s="14" t="s">
        <v>46</v>
      </c>
      <c r="C2" s="13" t="s">
        <v>38</v>
      </c>
      <c r="D2" s="13"/>
      <c r="E2" s="13"/>
      <c r="F2" s="13" t="s">
        <v>47</v>
      </c>
      <c r="G2" s="13" t="s">
        <v>40</v>
      </c>
      <c r="H2" s="13" t="s">
        <v>41</v>
      </c>
      <c r="I2" s="13" t="s">
        <v>42</v>
      </c>
      <c r="J2" s="15" t="s">
        <v>48</v>
      </c>
      <c r="K2" s="16">
        <v>31.0</v>
      </c>
      <c r="M2" s="16" t="s">
        <v>49</v>
      </c>
    </row>
    <row r="3">
      <c r="A3" s="17">
        <v>12.0</v>
      </c>
      <c r="B3" s="14" t="s">
        <v>50</v>
      </c>
      <c r="C3" s="13" t="s">
        <v>38</v>
      </c>
      <c r="D3" s="13"/>
      <c r="E3" s="13"/>
      <c r="F3" s="13" t="s">
        <v>47</v>
      </c>
      <c r="G3" s="13" t="s">
        <v>40</v>
      </c>
      <c r="H3" s="13" t="s">
        <v>41</v>
      </c>
      <c r="I3" s="13" t="s">
        <v>42</v>
      </c>
      <c r="J3" s="15" t="s">
        <v>51</v>
      </c>
      <c r="K3" s="16">
        <v>51.0</v>
      </c>
      <c r="M3" s="18" t="s">
        <v>52</v>
      </c>
      <c r="O3" s="19"/>
    </row>
    <row r="4">
      <c r="A4" s="17">
        <v>13.0</v>
      </c>
      <c r="B4" s="20" t="s">
        <v>53</v>
      </c>
      <c r="C4" s="17" t="s">
        <v>38</v>
      </c>
      <c r="D4" s="17"/>
      <c r="E4" s="17"/>
      <c r="F4" s="17" t="s">
        <v>47</v>
      </c>
      <c r="G4" s="17" t="s">
        <v>40</v>
      </c>
      <c r="H4" s="17" t="s">
        <v>41</v>
      </c>
      <c r="I4" s="17" t="s">
        <v>42</v>
      </c>
      <c r="J4" s="21" t="s">
        <v>51</v>
      </c>
      <c r="K4" s="22">
        <v>51.0</v>
      </c>
      <c r="M4" s="23" t="s">
        <v>54</v>
      </c>
      <c r="N4" s="24"/>
      <c r="O4" s="25"/>
      <c r="P4" s="26"/>
      <c r="Q4" s="26"/>
    </row>
    <row r="5">
      <c r="A5" s="17">
        <v>14.0</v>
      </c>
      <c r="B5" s="27" t="s">
        <v>55</v>
      </c>
      <c r="C5" s="17" t="s">
        <v>38</v>
      </c>
      <c r="D5" s="17"/>
      <c r="E5" s="17"/>
      <c r="F5" s="17" t="s">
        <v>39</v>
      </c>
      <c r="G5" s="17" t="s">
        <v>40</v>
      </c>
      <c r="H5" s="17" t="s">
        <v>42</v>
      </c>
      <c r="I5" s="17"/>
      <c r="J5" s="21" t="s">
        <v>56</v>
      </c>
      <c r="K5" s="22">
        <v>61.0</v>
      </c>
      <c r="M5" s="25"/>
      <c r="N5" s="26"/>
      <c r="O5" s="25"/>
      <c r="P5" s="24" t="s">
        <v>57</v>
      </c>
      <c r="Q5" s="26"/>
    </row>
    <row r="6">
      <c r="A6" s="17">
        <v>15.0</v>
      </c>
      <c r="B6" s="27" t="s">
        <v>58</v>
      </c>
      <c r="C6" s="17" t="s">
        <v>38</v>
      </c>
      <c r="D6" s="17" t="s">
        <v>59</v>
      </c>
      <c r="E6" s="17"/>
      <c r="F6" s="17" t="s">
        <v>39</v>
      </c>
      <c r="G6" s="17" t="s">
        <v>40</v>
      </c>
      <c r="H6" s="17" t="s">
        <v>41</v>
      </c>
      <c r="I6" s="17" t="s">
        <v>42</v>
      </c>
      <c r="J6" s="27" t="s">
        <v>60</v>
      </c>
      <c r="K6" s="22">
        <v>71.0</v>
      </c>
      <c r="M6" s="25"/>
      <c r="N6" s="26"/>
      <c r="O6" s="25"/>
      <c r="P6" s="24" t="s">
        <v>61</v>
      </c>
      <c r="Q6" s="26"/>
    </row>
    <row r="7">
      <c r="A7" s="17">
        <v>18.0</v>
      </c>
      <c r="B7" s="17" t="s">
        <v>62</v>
      </c>
      <c r="C7" s="17" t="s">
        <v>38</v>
      </c>
      <c r="D7" s="17"/>
      <c r="E7" s="17"/>
      <c r="F7" s="17" t="s">
        <v>39</v>
      </c>
      <c r="G7" s="17" t="s">
        <v>40</v>
      </c>
      <c r="H7" s="17" t="s">
        <v>42</v>
      </c>
      <c r="I7" s="17"/>
      <c r="J7" s="27" t="s">
        <v>63</v>
      </c>
      <c r="K7" s="22">
        <v>91.0</v>
      </c>
      <c r="L7" s="18" t="s">
        <v>64</v>
      </c>
      <c r="M7" s="24" t="s">
        <v>65</v>
      </c>
      <c r="N7" s="26"/>
      <c r="O7" s="26"/>
      <c r="P7" s="24" t="s">
        <v>66</v>
      </c>
    </row>
    <row r="8">
      <c r="A8" s="17">
        <v>20.0</v>
      </c>
      <c r="B8" s="17" t="s">
        <v>67</v>
      </c>
      <c r="C8" s="17" t="s">
        <v>38</v>
      </c>
      <c r="D8" s="17" t="s">
        <v>68</v>
      </c>
      <c r="E8" s="17"/>
      <c r="F8" s="17" t="s">
        <v>39</v>
      </c>
      <c r="G8" s="17" t="s">
        <v>40</v>
      </c>
      <c r="H8" s="17" t="s">
        <v>41</v>
      </c>
      <c r="I8" s="17" t="s">
        <v>42</v>
      </c>
      <c r="J8" s="27" t="s">
        <v>69</v>
      </c>
      <c r="K8" s="22">
        <v>121.0</v>
      </c>
      <c r="L8" s="18" t="s">
        <v>67</v>
      </c>
      <c r="M8" s="24" t="s">
        <v>70</v>
      </c>
      <c r="O8" s="26"/>
      <c r="P8" s="26"/>
    </row>
    <row r="9">
      <c r="A9" s="17">
        <v>22.0</v>
      </c>
      <c r="B9" s="17" t="s">
        <v>71</v>
      </c>
      <c r="C9" s="17" t="s">
        <v>38</v>
      </c>
      <c r="D9" s="17"/>
      <c r="E9" s="17"/>
      <c r="F9" s="17" t="s">
        <v>39</v>
      </c>
      <c r="G9" s="17" t="s">
        <v>40</v>
      </c>
      <c r="H9" s="17" t="s">
        <v>42</v>
      </c>
      <c r="I9" s="17"/>
      <c r="J9" s="21" t="s">
        <v>72</v>
      </c>
      <c r="K9" s="22">
        <v>161.0</v>
      </c>
      <c r="L9" s="18" t="s">
        <v>71</v>
      </c>
      <c r="M9" s="26"/>
      <c r="O9" s="26"/>
      <c r="P9" s="24" t="s">
        <v>73</v>
      </c>
    </row>
    <row r="10">
      <c r="A10" s="17">
        <v>24.0</v>
      </c>
      <c r="B10" s="17" t="s">
        <v>74</v>
      </c>
      <c r="C10" s="17" t="s">
        <v>38</v>
      </c>
      <c r="D10" s="17"/>
      <c r="E10" s="17"/>
      <c r="F10" s="17" t="s">
        <v>47</v>
      </c>
      <c r="G10" s="17" t="s">
        <v>40</v>
      </c>
      <c r="H10" s="17" t="s">
        <v>41</v>
      </c>
      <c r="I10" s="17" t="s">
        <v>42</v>
      </c>
      <c r="J10" s="28" t="s">
        <v>75</v>
      </c>
      <c r="K10" s="22">
        <v>201.0</v>
      </c>
      <c r="L10" s="18" t="s">
        <v>74</v>
      </c>
      <c r="M10" s="24" t="s">
        <v>76</v>
      </c>
      <c r="N10" s="18" t="s">
        <v>77</v>
      </c>
    </row>
    <row r="11">
      <c r="A11" s="17">
        <v>26.0</v>
      </c>
      <c r="B11" s="17" t="s">
        <v>78</v>
      </c>
      <c r="C11" s="17" t="s">
        <v>38</v>
      </c>
      <c r="D11" s="17" t="s">
        <v>68</v>
      </c>
      <c r="E11" s="17" t="s">
        <v>79</v>
      </c>
      <c r="F11" s="17" t="s">
        <v>47</v>
      </c>
      <c r="G11" s="17" t="s">
        <v>40</v>
      </c>
      <c r="H11" s="17" t="s">
        <v>41</v>
      </c>
      <c r="I11" s="17" t="s">
        <v>42</v>
      </c>
      <c r="J11" s="28" t="s">
        <v>80</v>
      </c>
      <c r="K11" s="22">
        <v>261.0</v>
      </c>
      <c r="L11" s="18" t="s">
        <v>81</v>
      </c>
      <c r="M11" s="24" t="s">
        <v>82</v>
      </c>
      <c r="N11" s="18" t="s">
        <v>83</v>
      </c>
      <c r="P11" s="18" t="s">
        <v>84</v>
      </c>
    </row>
    <row r="12">
      <c r="A12" s="17">
        <v>30.0</v>
      </c>
      <c r="B12" s="17" t="s">
        <v>85</v>
      </c>
      <c r="C12" s="17" t="s">
        <v>38</v>
      </c>
      <c r="D12" s="17"/>
      <c r="E12" s="17" t="s">
        <v>79</v>
      </c>
      <c r="F12" s="17" t="s">
        <v>39</v>
      </c>
      <c r="G12" s="17" t="s">
        <v>40</v>
      </c>
      <c r="H12" s="17" t="s">
        <v>41</v>
      </c>
      <c r="I12" s="17" t="s">
        <v>42</v>
      </c>
      <c r="K12" s="22">
        <v>301.0</v>
      </c>
      <c r="L12" s="18" t="s">
        <v>86</v>
      </c>
      <c r="M12" s="26"/>
    </row>
    <row r="13" ht="15.75" customHeight="1">
      <c r="A13" s="17">
        <v>31.0</v>
      </c>
      <c r="B13" s="17" t="s">
        <v>87</v>
      </c>
      <c r="C13" s="17" t="s">
        <v>38</v>
      </c>
      <c r="D13" s="17" t="s">
        <v>59</v>
      </c>
      <c r="E13" s="17" t="s">
        <v>79</v>
      </c>
      <c r="F13" s="17" t="s">
        <v>39</v>
      </c>
      <c r="G13" s="17" t="s">
        <v>88</v>
      </c>
      <c r="H13" s="17" t="s">
        <v>41</v>
      </c>
      <c r="I13" s="17" t="s">
        <v>42</v>
      </c>
      <c r="J13" s="21"/>
      <c r="K13" s="22"/>
      <c r="L13" s="18" t="s">
        <v>87</v>
      </c>
      <c r="M13" s="26"/>
    </row>
    <row r="14">
      <c r="A14" s="17">
        <v>16.0</v>
      </c>
      <c r="B14" s="27" t="s">
        <v>89</v>
      </c>
      <c r="C14" s="17" t="s">
        <v>90</v>
      </c>
      <c r="D14" s="17" t="s">
        <v>79</v>
      </c>
      <c r="E14" s="17"/>
      <c r="F14" s="17" t="s">
        <v>39</v>
      </c>
      <c r="G14" s="17" t="s">
        <v>40</v>
      </c>
      <c r="H14" s="17" t="s">
        <v>42</v>
      </c>
      <c r="I14" s="17" t="s">
        <v>91</v>
      </c>
      <c r="J14" s="29" t="s">
        <v>92</v>
      </c>
      <c r="K14" s="22">
        <v>951.0</v>
      </c>
      <c r="P14" s="18" t="s">
        <v>93</v>
      </c>
    </row>
    <row r="15">
      <c r="A15" s="17">
        <v>17.0</v>
      </c>
      <c r="B15" s="17" t="s">
        <v>94</v>
      </c>
      <c r="C15" s="17" t="s">
        <v>90</v>
      </c>
      <c r="D15" s="17"/>
      <c r="E15" s="17"/>
      <c r="F15" s="17" t="s">
        <v>39</v>
      </c>
      <c r="G15" s="17" t="s">
        <v>40</v>
      </c>
      <c r="H15" s="17" t="s">
        <v>41</v>
      </c>
      <c r="I15" s="17" t="s">
        <v>42</v>
      </c>
      <c r="J15" s="27" t="s">
        <v>95</v>
      </c>
      <c r="K15" s="22">
        <v>81.0</v>
      </c>
      <c r="P15" s="18" t="s">
        <v>96</v>
      </c>
    </row>
    <row r="16">
      <c r="A16" s="17">
        <v>7.0</v>
      </c>
      <c r="B16" s="27" t="s">
        <v>97</v>
      </c>
      <c r="C16" s="17" t="s">
        <v>98</v>
      </c>
      <c r="D16" s="17"/>
      <c r="E16" s="17"/>
      <c r="F16" s="17" t="s">
        <v>39</v>
      </c>
      <c r="G16" s="17" t="s">
        <v>40</v>
      </c>
      <c r="H16" s="17" t="s">
        <v>91</v>
      </c>
      <c r="I16" s="17" t="s">
        <v>42</v>
      </c>
      <c r="J16" s="30" t="s">
        <v>99</v>
      </c>
      <c r="K16" s="22">
        <v>4.0</v>
      </c>
      <c r="M16" s="16" t="s">
        <v>90</v>
      </c>
    </row>
    <row r="17">
      <c r="A17" s="17">
        <v>8.0</v>
      </c>
      <c r="B17" s="27" t="s">
        <v>100</v>
      </c>
      <c r="C17" s="17" t="s">
        <v>101</v>
      </c>
      <c r="D17" s="17" t="s">
        <v>59</v>
      </c>
      <c r="E17" s="17"/>
      <c r="F17" s="17" t="s">
        <v>39</v>
      </c>
      <c r="G17" s="17" t="s">
        <v>102</v>
      </c>
      <c r="H17" s="17" t="s">
        <v>41</v>
      </c>
      <c r="I17" s="17" t="s">
        <v>42</v>
      </c>
      <c r="J17" s="21" t="s">
        <v>103</v>
      </c>
      <c r="K17" s="22">
        <v>11.0</v>
      </c>
      <c r="M17" s="16" t="s">
        <v>98</v>
      </c>
    </row>
    <row r="18">
      <c r="A18" s="17">
        <v>11.0</v>
      </c>
      <c r="B18" s="27" t="s">
        <v>104</v>
      </c>
      <c r="C18" s="17" t="s">
        <v>101</v>
      </c>
      <c r="D18" s="17" t="s">
        <v>59</v>
      </c>
      <c r="E18" s="17" t="s">
        <v>68</v>
      </c>
      <c r="F18" s="17" t="s">
        <v>39</v>
      </c>
      <c r="G18" s="17" t="s">
        <v>40</v>
      </c>
      <c r="H18" s="17" t="s">
        <v>41</v>
      </c>
      <c r="I18" s="17" t="s">
        <v>42</v>
      </c>
      <c r="J18" s="21" t="s">
        <v>105</v>
      </c>
      <c r="K18" s="22">
        <v>41.0</v>
      </c>
      <c r="O18" s="19"/>
    </row>
    <row r="19">
      <c r="A19" s="17">
        <v>27.0</v>
      </c>
      <c r="B19" s="17" t="s">
        <v>106</v>
      </c>
      <c r="C19" s="17" t="s">
        <v>101</v>
      </c>
      <c r="D19" s="17" t="s">
        <v>79</v>
      </c>
      <c r="E19" s="17"/>
      <c r="F19" s="17" t="s">
        <v>39</v>
      </c>
      <c r="G19" s="17" t="s">
        <v>102</v>
      </c>
      <c r="H19" s="17" t="s">
        <v>41</v>
      </c>
      <c r="I19" s="17" t="s">
        <v>42</v>
      </c>
      <c r="J19" s="27" t="s">
        <v>107</v>
      </c>
      <c r="K19" s="22">
        <v>351.0</v>
      </c>
    </row>
    <row r="20">
      <c r="A20" s="17">
        <v>28.0</v>
      </c>
      <c r="B20" s="17" t="s">
        <v>108</v>
      </c>
      <c r="C20" s="17" t="s">
        <v>101</v>
      </c>
      <c r="D20" s="17" t="s">
        <v>59</v>
      </c>
      <c r="E20" s="17" t="s">
        <v>79</v>
      </c>
      <c r="F20" s="17" t="s">
        <v>39</v>
      </c>
      <c r="G20" s="17" t="s">
        <v>102</v>
      </c>
      <c r="H20" s="17" t="s">
        <v>41</v>
      </c>
      <c r="I20" s="17" t="s">
        <v>42</v>
      </c>
      <c r="J20" s="21"/>
      <c r="K20" s="22">
        <v>401.0</v>
      </c>
    </row>
    <row r="21">
      <c r="A21" s="17">
        <v>29.0</v>
      </c>
      <c r="B21" s="17" t="s">
        <v>109</v>
      </c>
      <c r="C21" s="17" t="s">
        <v>101</v>
      </c>
      <c r="D21" s="17" t="s">
        <v>59</v>
      </c>
      <c r="E21" s="17" t="s">
        <v>79</v>
      </c>
      <c r="F21" s="17" t="s">
        <v>39</v>
      </c>
      <c r="G21" s="17" t="s">
        <v>102</v>
      </c>
      <c r="H21" s="17" t="s">
        <v>41</v>
      </c>
      <c r="I21" s="17" t="s">
        <v>42</v>
      </c>
      <c r="J21" s="21"/>
      <c r="K21" s="22">
        <v>451.0</v>
      </c>
      <c r="L21" s="18" t="s">
        <v>110</v>
      </c>
    </row>
    <row r="22">
      <c r="A22" s="17">
        <v>39.0</v>
      </c>
      <c r="B22" s="17" t="s">
        <v>111</v>
      </c>
      <c r="C22" s="17" t="s">
        <v>101</v>
      </c>
      <c r="D22" s="17" t="s">
        <v>79</v>
      </c>
      <c r="E22" s="17"/>
      <c r="F22" s="17" t="s">
        <v>47</v>
      </c>
      <c r="G22" s="17" t="s">
        <v>88</v>
      </c>
      <c r="H22" s="17" t="s">
        <v>41</v>
      </c>
      <c r="I22" s="17" t="s">
        <v>42</v>
      </c>
      <c r="J22" s="21"/>
      <c r="K22" s="22"/>
    </row>
    <row r="23">
      <c r="A23" s="17">
        <v>41.0</v>
      </c>
      <c r="B23" s="17" t="s">
        <v>112</v>
      </c>
      <c r="C23" s="17" t="s">
        <v>101</v>
      </c>
      <c r="D23" s="17" t="s">
        <v>59</v>
      </c>
      <c r="E23" s="17"/>
      <c r="F23" s="17" t="s">
        <v>39</v>
      </c>
      <c r="G23" s="17" t="s">
        <v>88</v>
      </c>
      <c r="H23" s="17" t="s">
        <v>41</v>
      </c>
      <c r="I23" s="17" t="s">
        <v>42</v>
      </c>
      <c r="J23" s="21"/>
      <c r="K23" s="22"/>
    </row>
    <row r="24">
      <c r="A24" s="17">
        <v>21.0</v>
      </c>
      <c r="B24" s="17" t="s">
        <v>113</v>
      </c>
      <c r="C24" s="17" t="s">
        <v>49</v>
      </c>
      <c r="D24" s="17" t="s">
        <v>59</v>
      </c>
      <c r="E24" s="17" t="s">
        <v>79</v>
      </c>
      <c r="F24" s="17" t="s">
        <v>39</v>
      </c>
      <c r="G24" s="17" t="s">
        <v>88</v>
      </c>
      <c r="H24" s="17" t="s">
        <v>41</v>
      </c>
      <c r="I24" s="17" t="s">
        <v>42</v>
      </c>
      <c r="J24" s="31" t="s">
        <v>114</v>
      </c>
      <c r="K24" s="22" t="s">
        <v>115</v>
      </c>
      <c r="L24" s="18" t="s">
        <v>116</v>
      </c>
    </row>
    <row r="25">
      <c r="A25" s="32">
        <v>23.0</v>
      </c>
      <c r="B25" s="17" t="s">
        <v>117</v>
      </c>
      <c r="C25" s="17" t="s">
        <v>49</v>
      </c>
      <c r="D25" s="17" t="s">
        <v>59</v>
      </c>
      <c r="E25" s="17" t="s">
        <v>79</v>
      </c>
      <c r="F25" s="17" t="s">
        <v>39</v>
      </c>
      <c r="G25" s="17" t="s">
        <v>45</v>
      </c>
      <c r="H25" s="17"/>
      <c r="I25" s="17"/>
      <c r="J25" s="21" t="s">
        <v>118</v>
      </c>
      <c r="K25" s="22">
        <v>181.0</v>
      </c>
      <c r="L25" s="18" t="s">
        <v>119</v>
      </c>
      <c r="P25" s="18" t="s">
        <v>120</v>
      </c>
    </row>
    <row r="26">
      <c r="A26" s="17">
        <v>32.0</v>
      </c>
      <c r="B26" s="17" t="s">
        <v>121</v>
      </c>
      <c r="C26" s="17" t="s">
        <v>49</v>
      </c>
      <c r="D26" s="17" t="s">
        <v>59</v>
      </c>
      <c r="E26" s="17" t="s">
        <v>68</v>
      </c>
      <c r="F26" s="17" t="s">
        <v>39</v>
      </c>
      <c r="G26" s="17" t="s">
        <v>45</v>
      </c>
      <c r="H26" s="17"/>
      <c r="I26" s="17"/>
      <c r="J26" s="21"/>
      <c r="K26" s="22"/>
      <c r="L26" s="18" t="s">
        <v>122</v>
      </c>
    </row>
    <row r="27">
      <c r="A27" s="17">
        <v>33.0</v>
      </c>
      <c r="B27" s="17" t="s">
        <v>123</v>
      </c>
      <c r="C27" s="17" t="s">
        <v>49</v>
      </c>
      <c r="D27" s="17" t="s">
        <v>59</v>
      </c>
      <c r="E27" s="17" t="s">
        <v>79</v>
      </c>
      <c r="F27" s="17"/>
      <c r="G27" s="17"/>
      <c r="H27" s="17"/>
      <c r="I27" s="17"/>
      <c r="J27" s="21"/>
      <c r="K27" s="22"/>
    </row>
    <row r="28">
      <c r="A28" s="17">
        <v>35.0</v>
      </c>
      <c r="B28" s="17" t="s">
        <v>124</v>
      </c>
      <c r="C28" s="17" t="s">
        <v>49</v>
      </c>
      <c r="D28" s="17" t="s">
        <v>59</v>
      </c>
      <c r="E28" s="17"/>
      <c r="F28" s="17" t="s">
        <v>39</v>
      </c>
      <c r="G28" s="17" t="s">
        <v>40</v>
      </c>
      <c r="H28" s="17" t="s">
        <v>42</v>
      </c>
      <c r="I28" s="17"/>
      <c r="J28" s="21"/>
      <c r="K28" s="22"/>
    </row>
    <row r="29">
      <c r="A29" s="17">
        <v>37.0</v>
      </c>
      <c r="B29" s="17" t="s">
        <v>125</v>
      </c>
      <c r="C29" s="17" t="s">
        <v>49</v>
      </c>
      <c r="D29" s="17" t="s">
        <v>79</v>
      </c>
      <c r="E29" s="17"/>
      <c r="F29" s="17" t="s">
        <v>47</v>
      </c>
      <c r="G29" s="17" t="s">
        <v>88</v>
      </c>
      <c r="H29" s="17" t="s">
        <v>41</v>
      </c>
      <c r="I29" s="17" t="s">
        <v>42</v>
      </c>
      <c r="J29" s="21"/>
      <c r="K29" s="22"/>
      <c r="L29" s="18" t="s">
        <v>126</v>
      </c>
    </row>
    <row r="30">
      <c r="A30" s="17">
        <v>1.0</v>
      </c>
      <c r="B30" s="27" t="s">
        <v>127</v>
      </c>
      <c r="C30" s="17" t="s">
        <v>127</v>
      </c>
      <c r="D30" s="17"/>
      <c r="E30" s="17"/>
      <c r="F30" s="17" t="s">
        <v>47</v>
      </c>
      <c r="G30" s="17" t="s">
        <v>40</v>
      </c>
      <c r="H30" s="17" t="s">
        <v>128</v>
      </c>
      <c r="I30" s="17" t="s">
        <v>42</v>
      </c>
      <c r="J30" s="21" t="s">
        <v>129</v>
      </c>
      <c r="K30" s="22">
        <v>1.0</v>
      </c>
      <c r="M30" s="16" t="s">
        <v>127</v>
      </c>
      <c r="O30" s="16" t="s">
        <v>130</v>
      </c>
      <c r="P30" s="16" t="s">
        <v>128</v>
      </c>
      <c r="Q30" s="16" t="s">
        <v>39</v>
      </c>
    </row>
    <row r="31">
      <c r="A31" s="17">
        <v>19.0</v>
      </c>
      <c r="B31" s="17" t="s">
        <v>131</v>
      </c>
      <c r="C31" s="17" t="s">
        <v>132</v>
      </c>
      <c r="D31" s="17" t="s">
        <v>79</v>
      </c>
      <c r="E31" s="17"/>
      <c r="F31" s="17" t="s">
        <v>47</v>
      </c>
      <c r="G31" s="17" t="s">
        <v>133</v>
      </c>
      <c r="H31" s="17"/>
      <c r="I31" s="17"/>
      <c r="J31" s="21" t="s">
        <v>134</v>
      </c>
      <c r="K31" s="22">
        <v>101.0</v>
      </c>
      <c r="L31" s="18" t="s">
        <v>135</v>
      </c>
    </row>
    <row r="32">
      <c r="A32" s="17">
        <v>34.0</v>
      </c>
      <c r="B32" s="17" t="s">
        <v>136</v>
      </c>
      <c r="C32" s="17" t="s">
        <v>132</v>
      </c>
      <c r="D32" s="17" t="s">
        <v>79</v>
      </c>
      <c r="E32" s="17"/>
      <c r="F32" s="17" t="s">
        <v>137</v>
      </c>
      <c r="G32" s="17" t="s">
        <v>133</v>
      </c>
      <c r="H32" s="17"/>
      <c r="I32" s="17"/>
      <c r="J32" s="21"/>
      <c r="K32" s="22"/>
      <c r="L32" s="18" t="s">
        <v>138</v>
      </c>
    </row>
    <row r="33">
      <c r="A33" s="17">
        <v>40.0</v>
      </c>
      <c r="B33" s="17" t="s">
        <v>139</v>
      </c>
      <c r="C33" s="17" t="s">
        <v>140</v>
      </c>
      <c r="D33" s="17"/>
      <c r="E33" s="17"/>
      <c r="F33" s="17" t="s">
        <v>39</v>
      </c>
      <c r="G33" s="17" t="s">
        <v>88</v>
      </c>
      <c r="H33" s="17" t="s">
        <v>41</v>
      </c>
      <c r="I33" s="17" t="s">
        <v>42</v>
      </c>
      <c r="J33" s="21"/>
      <c r="K33" s="22"/>
    </row>
    <row r="34">
      <c r="A34" s="17">
        <v>2.0</v>
      </c>
      <c r="B34" s="27" t="s">
        <v>141</v>
      </c>
      <c r="C34" s="17" t="s">
        <v>142</v>
      </c>
      <c r="D34" s="17"/>
      <c r="E34" s="17"/>
      <c r="F34" s="17" t="s">
        <v>47</v>
      </c>
      <c r="G34" s="17" t="s">
        <v>40</v>
      </c>
      <c r="H34" s="17" t="s">
        <v>143</v>
      </c>
      <c r="I34" s="17" t="s">
        <v>42</v>
      </c>
      <c r="J34" s="21" t="s">
        <v>144</v>
      </c>
      <c r="K34" s="22">
        <v>2.0</v>
      </c>
      <c r="M34" s="16" t="s">
        <v>142</v>
      </c>
      <c r="N34" s="16" t="s">
        <v>59</v>
      </c>
      <c r="O34" s="16" t="s">
        <v>40</v>
      </c>
      <c r="P34" s="16" t="s">
        <v>143</v>
      </c>
      <c r="Q34" s="16" t="s">
        <v>47</v>
      </c>
    </row>
    <row r="35">
      <c r="A35" s="17">
        <v>3.0</v>
      </c>
      <c r="B35" s="27" t="s">
        <v>145</v>
      </c>
      <c r="C35" s="17" t="s">
        <v>142</v>
      </c>
      <c r="D35" s="17"/>
      <c r="E35" s="17"/>
      <c r="F35" s="17" t="s">
        <v>47</v>
      </c>
      <c r="G35" s="17" t="s">
        <v>40</v>
      </c>
      <c r="H35" s="17" t="s">
        <v>143</v>
      </c>
      <c r="I35" s="17" t="s">
        <v>42</v>
      </c>
      <c r="J35" s="21" t="s">
        <v>146</v>
      </c>
      <c r="K35" s="22">
        <v>3.0</v>
      </c>
      <c r="M35" s="16" t="s">
        <v>38</v>
      </c>
      <c r="N35" s="16" t="s">
        <v>68</v>
      </c>
      <c r="O35" s="16" t="s">
        <v>88</v>
      </c>
      <c r="P35" s="16" t="s">
        <v>41</v>
      </c>
      <c r="Q35" s="16" t="s">
        <v>137</v>
      </c>
    </row>
    <row r="36">
      <c r="A36" s="17">
        <v>4.0</v>
      </c>
      <c r="B36" s="27" t="s">
        <v>147</v>
      </c>
      <c r="C36" s="17" t="s">
        <v>142</v>
      </c>
      <c r="D36" s="17"/>
      <c r="E36" s="17"/>
      <c r="F36" s="17" t="s">
        <v>47</v>
      </c>
      <c r="G36" s="17" t="s">
        <v>40</v>
      </c>
      <c r="H36" s="17" t="s">
        <v>143</v>
      </c>
      <c r="I36" s="17" t="s">
        <v>42</v>
      </c>
      <c r="J36" s="21" t="s">
        <v>148</v>
      </c>
      <c r="K36" s="22">
        <v>4.0</v>
      </c>
      <c r="M36" s="16" t="s">
        <v>101</v>
      </c>
      <c r="N36" s="16" t="s">
        <v>79</v>
      </c>
      <c r="O36" s="16" t="s">
        <v>102</v>
      </c>
      <c r="P36" s="16" t="s">
        <v>42</v>
      </c>
    </row>
    <row r="37">
      <c r="A37" s="17">
        <v>5.0</v>
      </c>
      <c r="B37" s="27" t="s">
        <v>149</v>
      </c>
      <c r="C37" s="17" t="s">
        <v>142</v>
      </c>
      <c r="D37" s="17"/>
      <c r="E37" s="17"/>
      <c r="F37" s="17" t="s">
        <v>47</v>
      </c>
      <c r="G37" s="17" t="s">
        <v>40</v>
      </c>
      <c r="H37" s="17" t="s">
        <v>143</v>
      </c>
      <c r="I37" s="17" t="s">
        <v>42</v>
      </c>
      <c r="J37" s="21" t="s">
        <v>150</v>
      </c>
      <c r="K37" s="22">
        <v>5.0</v>
      </c>
      <c r="M37" s="16" t="s">
        <v>132</v>
      </c>
      <c r="O37" s="16" t="s">
        <v>133</v>
      </c>
      <c r="P37" s="16" t="s">
        <v>91</v>
      </c>
    </row>
    <row r="38">
      <c r="A38" s="17">
        <v>9.0</v>
      </c>
      <c r="B38" s="27" t="s">
        <v>151</v>
      </c>
      <c r="C38" s="17" t="s">
        <v>44</v>
      </c>
      <c r="D38" s="17"/>
      <c r="E38" s="17"/>
      <c r="F38" s="17" t="s">
        <v>39</v>
      </c>
      <c r="G38" s="17" t="s">
        <v>40</v>
      </c>
      <c r="H38" s="17" t="s">
        <v>41</v>
      </c>
      <c r="I38" s="17" t="s">
        <v>42</v>
      </c>
      <c r="J38" s="21" t="s">
        <v>152</v>
      </c>
      <c r="K38" s="22">
        <v>21.0</v>
      </c>
      <c r="M38" s="16" t="s">
        <v>140</v>
      </c>
    </row>
    <row r="39">
      <c r="A39" s="17">
        <v>25.0</v>
      </c>
      <c r="B39" s="17" t="s">
        <v>153</v>
      </c>
      <c r="C39" s="17" t="s">
        <v>44</v>
      </c>
      <c r="D39" s="17"/>
      <c r="E39" s="17"/>
      <c r="F39" s="17" t="s">
        <v>39</v>
      </c>
      <c r="G39" s="17" t="s">
        <v>40</v>
      </c>
      <c r="H39" s="17" t="s">
        <v>41</v>
      </c>
      <c r="I39" s="17" t="s">
        <v>42</v>
      </c>
      <c r="J39" s="28" t="s">
        <v>154</v>
      </c>
      <c r="K39" s="22">
        <v>231.0</v>
      </c>
      <c r="L39" s="18" t="s">
        <v>153</v>
      </c>
      <c r="M39" s="18" t="s">
        <v>155</v>
      </c>
      <c r="N39" s="18" t="s">
        <v>156</v>
      </c>
      <c r="P39" s="18" t="s">
        <v>157</v>
      </c>
    </row>
    <row r="40">
      <c r="A40" s="17">
        <v>36.0</v>
      </c>
      <c r="B40" s="17" t="s">
        <v>158</v>
      </c>
      <c r="C40" s="17" t="s">
        <v>44</v>
      </c>
      <c r="D40" s="17" t="s">
        <v>79</v>
      </c>
      <c r="E40" s="17"/>
      <c r="F40" s="17" t="s">
        <v>39</v>
      </c>
      <c r="G40" s="17" t="s">
        <v>88</v>
      </c>
      <c r="H40" s="17" t="s">
        <v>41</v>
      </c>
      <c r="I40" s="17" t="s">
        <v>42</v>
      </c>
      <c r="J40" s="21"/>
      <c r="K40" s="22"/>
      <c r="L40" s="18" t="s">
        <v>159</v>
      </c>
    </row>
    <row r="41">
      <c r="A41" s="17">
        <v>38.0</v>
      </c>
      <c r="B41" s="17" t="s">
        <v>160</v>
      </c>
      <c r="C41" s="17" t="s">
        <v>44</v>
      </c>
      <c r="D41" s="17"/>
      <c r="E41" s="17"/>
      <c r="F41" s="17" t="s">
        <v>39</v>
      </c>
      <c r="G41" s="17" t="s">
        <v>88</v>
      </c>
      <c r="H41" s="17" t="s">
        <v>42</v>
      </c>
      <c r="I41" s="17" t="s">
        <v>41</v>
      </c>
      <c r="J41" s="21"/>
      <c r="K41" s="22"/>
    </row>
    <row r="42">
      <c r="A42" s="17" t="s">
        <v>161</v>
      </c>
      <c r="B42" s="33" t="s">
        <v>162</v>
      </c>
      <c r="C42" s="34" t="s">
        <v>163</v>
      </c>
      <c r="D42" s="35" t="s">
        <v>164</v>
      </c>
      <c r="E42" s="36" t="s">
        <v>165</v>
      </c>
      <c r="F42" s="37" t="s">
        <v>166</v>
      </c>
      <c r="G42" s="38" t="s">
        <v>167</v>
      </c>
      <c r="H42" s="39" t="s">
        <v>168</v>
      </c>
      <c r="I42" s="40" t="s">
        <v>169</v>
      </c>
      <c r="J42" s="41" t="s">
        <v>170</v>
      </c>
      <c r="K42" s="41" t="s">
        <v>171</v>
      </c>
      <c r="M42" s="42" t="s">
        <v>163</v>
      </c>
      <c r="N42" s="42" t="s">
        <v>172</v>
      </c>
      <c r="O42" s="42" t="s">
        <v>167</v>
      </c>
      <c r="P42" s="42" t="s">
        <v>173</v>
      </c>
      <c r="Q42" s="42" t="s">
        <v>166</v>
      </c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>
      <c r="A44" s="43"/>
      <c r="B44" s="26"/>
      <c r="C44" s="26"/>
      <c r="D44" s="26"/>
      <c r="E44" s="26"/>
      <c r="F44" s="26"/>
      <c r="G44" s="26"/>
      <c r="H44" s="26"/>
      <c r="I44" s="26"/>
      <c r="J44" s="26"/>
      <c r="K44" s="26"/>
    </row>
  </sheetData>
  <dataValidations>
    <dataValidation type="list" allowBlank="1" showErrorMessage="1" sqref="G1:G41">
      <formula1>'清單'!$O$5:$O$9</formula1>
    </dataValidation>
    <dataValidation type="list" allowBlank="1" showErrorMessage="1" sqref="D1:E41">
      <formula1>'清單'!$N$4:$N$7</formula1>
    </dataValidation>
    <dataValidation type="list" allowBlank="1" showErrorMessage="1" sqref="F1:F41">
      <formula1>'清單'!$Q$4:$Q$6</formula1>
    </dataValidation>
    <dataValidation type="list" allowBlank="1" showErrorMessage="1" sqref="H1:I41">
      <formula1>'清單'!$P$4:$P$9</formula1>
    </dataValidation>
    <dataValidation type="list" allowBlank="1" showErrorMessage="1" sqref="C1:C41">
      <formula1>'清單'!$M$4:$M$13</formula1>
    </dataValidation>
  </dataValidations>
  <hyperlinks>
    <hyperlink display="紙箱" location="'6.紙箱'!A1" ref="B1"/>
    <hyperlink r:id="rId1" ref="J1"/>
    <hyperlink display="木桶" location="'10.木桶'!A1" ref="B2"/>
    <hyperlink r:id="rId2" ref="J2"/>
    <hyperlink display="交通錐" location="'12.交通錐'!A1" ref="B3"/>
    <hyperlink r:id="rId3" ref="J3"/>
    <hyperlink r:id="rId4" ref="J4"/>
    <hyperlink r:id="rId5" ref="M4"/>
    <hyperlink display="罐頭" location="'13.罐頭'!A1" ref="B5"/>
    <hyperlink r:id="rId6" ref="J5"/>
    <hyperlink display="充氣游泳池" location="'14.充氣游泳池'!A1" ref="B6"/>
    <hyperlink r:id="rId7" ref="J6"/>
    <hyperlink r:id="rId8" ref="J7"/>
    <hyperlink r:id="rId9" ref="J8"/>
    <hyperlink r:id="rId10" ref="J9"/>
    <hyperlink r:id="rId11" ref="J10"/>
    <hyperlink r:id="rId12" ref="J11"/>
    <hyperlink display="繩索" location="'15.繩索'!A1" ref="B14"/>
    <hyperlink r:id="rId13" ref="J14"/>
    <hyperlink r:id="rId14" ref="J15"/>
    <hyperlink display="水漥" location="'7.水漥'!A1" ref="B16"/>
    <hyperlink r:id="rId15" ref="J16"/>
    <hyperlink display="礦泉水櫃" location="'8.礦泉水櫃'!A1" ref="B17"/>
    <hyperlink r:id="rId16" ref="J17"/>
    <hyperlink display="飲料櫃" location="'11.藥水櫃'!A1" ref="B18"/>
    <hyperlink r:id="rId17" ref="J18"/>
    <hyperlink r:id="rId18" ref="J19"/>
    <hyperlink r:id="rId19" ref="J24"/>
    <hyperlink r:id="rId20" ref="J25"/>
    <hyperlink display="基本元素" location="'1.元素+元素生成器'!A1" ref="B30"/>
    <hyperlink r:id="rId21" ref="J30"/>
    <hyperlink r:id="rId22" ref="J31"/>
    <hyperlink display="火箭" location="'2.火箭'!A1" ref="B34"/>
    <hyperlink r:id="rId23" ref="J34"/>
    <hyperlink display="炸彈" location="'3.炸彈'!A1" ref="B35"/>
    <hyperlink r:id="rId24" ref="J35"/>
    <hyperlink display="螺旋槳" location="'4.螺旋槳'!A1" ref="B36"/>
    <hyperlink r:id="rId25" ref="J36"/>
    <hyperlink display="紙風車" location="'5.紙風車'!A1" ref="B37"/>
    <hyperlink r:id="rId26" ref="J37"/>
    <hyperlink display="郵戳印章" location="'9.郵戳印章'!A1" ref="B38"/>
    <hyperlink r:id="rId27" ref="J38"/>
    <hyperlink r:id="rId28" ref="J39"/>
  </hyperlinks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3" max="3" width="13.63"/>
  </cols>
  <sheetData>
    <row r="1">
      <c r="A1" s="44" t="s">
        <v>174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3">
      <c r="A3" s="22" t="s">
        <v>161</v>
      </c>
      <c r="B3" s="22" t="s">
        <v>175</v>
      </c>
      <c r="C3" s="22" t="s">
        <v>176</v>
      </c>
      <c r="D3" s="46" t="s">
        <v>177</v>
      </c>
      <c r="E3" s="4"/>
      <c r="F3" s="4"/>
      <c r="G3" s="4"/>
      <c r="H3" s="4"/>
      <c r="I3" s="4"/>
      <c r="J3" s="4"/>
      <c r="K3" s="4"/>
      <c r="L3" s="5"/>
      <c r="M3" s="18"/>
    </row>
    <row r="4">
      <c r="A4" s="47">
        <v>1.0</v>
      </c>
      <c r="B4" s="47" t="s">
        <v>178</v>
      </c>
      <c r="C4" s="47" t="s">
        <v>179</v>
      </c>
      <c r="D4" s="48" t="s">
        <v>180</v>
      </c>
      <c r="E4" s="4"/>
      <c r="F4" s="4"/>
      <c r="G4" s="4"/>
      <c r="H4" s="4"/>
      <c r="I4" s="4"/>
      <c r="J4" s="4"/>
      <c r="K4" s="4"/>
      <c r="L4" s="5"/>
    </row>
    <row r="5">
      <c r="A5" s="49">
        <v>2.0</v>
      </c>
      <c r="B5" s="49" t="s">
        <v>181</v>
      </c>
      <c r="C5" s="49" t="s">
        <v>182</v>
      </c>
      <c r="D5" s="50" t="s">
        <v>183</v>
      </c>
      <c r="E5" s="4"/>
      <c r="F5" s="4"/>
      <c r="G5" s="4"/>
      <c r="H5" s="4"/>
      <c r="I5" s="4"/>
      <c r="J5" s="4"/>
      <c r="K5" s="4"/>
      <c r="L5" s="5"/>
    </row>
    <row r="6">
      <c r="A6" s="47">
        <v>3.0</v>
      </c>
      <c r="B6" s="47" t="s">
        <v>184</v>
      </c>
      <c r="C6" s="47" t="s">
        <v>185</v>
      </c>
      <c r="D6" s="48" t="s">
        <v>186</v>
      </c>
      <c r="E6" s="4"/>
      <c r="F6" s="4"/>
      <c r="G6" s="4"/>
      <c r="H6" s="4"/>
      <c r="I6" s="4"/>
      <c r="J6" s="4"/>
      <c r="K6" s="4"/>
      <c r="L6" s="5"/>
    </row>
    <row r="7">
      <c r="A7" s="49">
        <v>4.0</v>
      </c>
      <c r="B7" s="49" t="s">
        <v>187</v>
      </c>
      <c r="C7" s="49" t="s">
        <v>188</v>
      </c>
      <c r="D7" s="50" t="s">
        <v>189</v>
      </c>
      <c r="E7" s="4"/>
      <c r="F7" s="4"/>
      <c r="G7" s="4"/>
      <c r="H7" s="4"/>
      <c r="I7" s="4"/>
      <c r="J7" s="4"/>
      <c r="K7" s="4"/>
      <c r="L7" s="5"/>
    </row>
    <row r="8">
      <c r="A8" s="47">
        <v>5.0</v>
      </c>
      <c r="B8" s="47" t="s">
        <v>190</v>
      </c>
      <c r="C8" s="47" t="s">
        <v>191</v>
      </c>
      <c r="D8" s="48" t="s">
        <v>192</v>
      </c>
      <c r="E8" s="4"/>
      <c r="F8" s="4"/>
      <c r="G8" s="4"/>
      <c r="H8" s="4"/>
      <c r="I8" s="4"/>
      <c r="J8" s="4"/>
      <c r="K8" s="4"/>
      <c r="L8" s="5"/>
    </row>
    <row r="9">
      <c r="A9" s="49">
        <v>6.0</v>
      </c>
      <c r="B9" s="49" t="s">
        <v>193</v>
      </c>
      <c r="C9" s="49" t="s">
        <v>194</v>
      </c>
      <c r="D9" s="50" t="s">
        <v>195</v>
      </c>
      <c r="E9" s="4"/>
      <c r="F9" s="4"/>
      <c r="G9" s="4"/>
      <c r="H9" s="4"/>
      <c r="I9" s="4"/>
      <c r="J9" s="4"/>
      <c r="K9" s="4"/>
      <c r="L9" s="5"/>
    </row>
    <row r="10">
      <c r="A10" s="47">
        <v>7.0</v>
      </c>
      <c r="B10" s="47" t="s">
        <v>127</v>
      </c>
      <c r="C10" s="47" t="s">
        <v>196</v>
      </c>
      <c r="D10" s="48" t="s">
        <v>197</v>
      </c>
      <c r="E10" s="4"/>
      <c r="F10" s="4"/>
      <c r="G10" s="4"/>
      <c r="H10" s="4"/>
      <c r="I10" s="4"/>
      <c r="J10" s="4"/>
      <c r="K10" s="4"/>
      <c r="L10" s="5"/>
    </row>
    <row r="11">
      <c r="A11" s="49">
        <v>8.0</v>
      </c>
      <c r="B11" s="49" t="s">
        <v>39</v>
      </c>
      <c r="C11" s="49" t="s">
        <v>198</v>
      </c>
      <c r="D11" s="50" t="s">
        <v>199</v>
      </c>
      <c r="E11" s="4"/>
      <c r="F11" s="4"/>
      <c r="G11" s="4"/>
      <c r="H11" s="4"/>
      <c r="I11" s="4"/>
      <c r="J11" s="4"/>
      <c r="K11" s="4"/>
      <c r="L11" s="5"/>
    </row>
    <row r="12">
      <c r="A12" s="47">
        <v>9.0</v>
      </c>
      <c r="B12" s="47" t="s">
        <v>47</v>
      </c>
      <c r="C12" s="47" t="s">
        <v>200</v>
      </c>
      <c r="D12" s="48" t="s">
        <v>201</v>
      </c>
      <c r="E12" s="4"/>
      <c r="F12" s="4"/>
      <c r="G12" s="4"/>
      <c r="H12" s="4"/>
      <c r="I12" s="4"/>
      <c r="J12" s="4"/>
      <c r="K12" s="4"/>
      <c r="L12" s="5"/>
    </row>
    <row r="13">
      <c r="A13" s="49">
        <v>10.0</v>
      </c>
      <c r="B13" s="49" t="s">
        <v>143</v>
      </c>
      <c r="C13" s="49" t="s">
        <v>202</v>
      </c>
      <c r="D13" s="50" t="s">
        <v>203</v>
      </c>
      <c r="E13" s="4"/>
      <c r="F13" s="4"/>
      <c r="G13" s="4"/>
      <c r="H13" s="4"/>
      <c r="I13" s="4"/>
      <c r="J13" s="4"/>
      <c r="K13" s="4"/>
      <c r="L13" s="5"/>
    </row>
    <row r="14">
      <c r="A14" s="47">
        <v>11.0</v>
      </c>
      <c r="B14" s="47" t="s">
        <v>204</v>
      </c>
      <c r="C14" s="47" t="s">
        <v>205</v>
      </c>
      <c r="D14" s="48" t="s">
        <v>206</v>
      </c>
      <c r="E14" s="4"/>
      <c r="F14" s="4"/>
      <c r="G14" s="4"/>
      <c r="H14" s="4"/>
      <c r="I14" s="4"/>
      <c r="J14" s="4"/>
      <c r="K14" s="4"/>
      <c r="L14" s="5"/>
    </row>
    <row r="15">
      <c r="A15" s="49">
        <v>12.0</v>
      </c>
      <c r="B15" s="49" t="s">
        <v>207</v>
      </c>
      <c r="C15" s="49" t="s">
        <v>208</v>
      </c>
      <c r="D15" s="50" t="s">
        <v>209</v>
      </c>
      <c r="E15" s="4"/>
      <c r="F15" s="4"/>
      <c r="G15" s="4"/>
      <c r="H15" s="4"/>
      <c r="I15" s="4"/>
      <c r="J15" s="4"/>
      <c r="K15" s="4"/>
      <c r="L15" s="5"/>
    </row>
    <row r="16">
      <c r="A16" s="47">
        <v>13.0</v>
      </c>
      <c r="B16" s="47" t="s">
        <v>210</v>
      </c>
      <c r="C16" s="47" t="s">
        <v>211</v>
      </c>
      <c r="D16" s="48" t="s">
        <v>212</v>
      </c>
      <c r="E16" s="4"/>
      <c r="F16" s="4"/>
      <c r="G16" s="4"/>
      <c r="H16" s="4"/>
      <c r="I16" s="4"/>
      <c r="J16" s="4"/>
      <c r="K16" s="4"/>
      <c r="L16" s="5"/>
    </row>
    <row r="17">
      <c r="A17" s="49">
        <v>14.0</v>
      </c>
      <c r="B17" s="49" t="s">
        <v>40</v>
      </c>
      <c r="C17" s="49" t="s">
        <v>213</v>
      </c>
      <c r="D17" s="50" t="s">
        <v>214</v>
      </c>
      <c r="E17" s="4"/>
      <c r="F17" s="4"/>
      <c r="G17" s="4"/>
      <c r="H17" s="4"/>
      <c r="I17" s="4"/>
      <c r="J17" s="4"/>
      <c r="K17" s="4"/>
      <c r="L17" s="5"/>
    </row>
    <row r="18">
      <c r="A18" s="47">
        <v>15.0</v>
      </c>
      <c r="B18" s="47" t="s">
        <v>88</v>
      </c>
      <c r="C18" s="47" t="s">
        <v>215</v>
      </c>
      <c r="D18" s="48" t="s">
        <v>216</v>
      </c>
      <c r="E18" s="4"/>
      <c r="F18" s="4"/>
      <c r="G18" s="4"/>
      <c r="H18" s="4"/>
      <c r="I18" s="4"/>
      <c r="J18" s="4"/>
      <c r="K18" s="4"/>
      <c r="L18" s="5"/>
    </row>
    <row r="19">
      <c r="A19" s="49">
        <v>16.0</v>
      </c>
      <c r="B19" s="49" t="s">
        <v>102</v>
      </c>
      <c r="C19" s="49" t="s">
        <v>217</v>
      </c>
      <c r="D19" s="50" t="s">
        <v>218</v>
      </c>
      <c r="E19" s="4"/>
      <c r="F19" s="4"/>
      <c r="G19" s="4"/>
      <c r="H19" s="4"/>
      <c r="I19" s="4"/>
      <c r="J19" s="4"/>
      <c r="K19" s="4"/>
      <c r="L19" s="5"/>
    </row>
    <row r="20">
      <c r="A20" s="47">
        <v>17.0</v>
      </c>
      <c r="B20" s="47" t="s">
        <v>219</v>
      </c>
      <c r="C20" s="47" t="s">
        <v>220</v>
      </c>
      <c r="D20" s="48" t="s">
        <v>221</v>
      </c>
      <c r="E20" s="4"/>
      <c r="F20" s="4"/>
      <c r="G20" s="4"/>
      <c r="H20" s="4"/>
      <c r="I20" s="4"/>
      <c r="J20" s="4"/>
      <c r="K20" s="4"/>
      <c r="L20" s="5"/>
    </row>
    <row r="21">
      <c r="A21" s="49">
        <v>18.0</v>
      </c>
      <c r="B21" s="49" t="s">
        <v>44</v>
      </c>
      <c r="C21" s="49" t="s">
        <v>222</v>
      </c>
      <c r="D21" s="50" t="s">
        <v>223</v>
      </c>
      <c r="E21" s="4"/>
      <c r="F21" s="4"/>
      <c r="G21" s="4"/>
      <c r="H21" s="4"/>
      <c r="I21" s="4"/>
      <c r="J21" s="4"/>
      <c r="K21" s="4"/>
      <c r="L21" s="5"/>
    </row>
    <row r="22">
      <c r="A22" s="47">
        <v>19.0</v>
      </c>
      <c r="B22" s="47" t="s">
        <v>38</v>
      </c>
      <c r="C22" s="47" t="s">
        <v>224</v>
      </c>
      <c r="D22" s="48" t="s">
        <v>225</v>
      </c>
      <c r="E22" s="4"/>
      <c r="F22" s="4"/>
      <c r="G22" s="4"/>
      <c r="H22" s="4"/>
      <c r="I22" s="4"/>
      <c r="J22" s="4"/>
      <c r="K22" s="4"/>
      <c r="L22" s="5"/>
    </row>
    <row r="23">
      <c r="A23" s="49">
        <v>20.0</v>
      </c>
      <c r="B23" s="49" t="s">
        <v>101</v>
      </c>
      <c r="C23" s="49" t="s">
        <v>226</v>
      </c>
      <c r="D23" s="50" t="s">
        <v>227</v>
      </c>
      <c r="E23" s="4"/>
      <c r="F23" s="4"/>
      <c r="G23" s="4"/>
      <c r="H23" s="4"/>
      <c r="I23" s="4"/>
      <c r="J23" s="4"/>
      <c r="K23" s="4"/>
      <c r="L23" s="5"/>
    </row>
    <row r="24">
      <c r="A24" s="47">
        <v>21.0</v>
      </c>
      <c r="B24" s="47" t="s">
        <v>132</v>
      </c>
      <c r="C24" s="47" t="s">
        <v>228</v>
      </c>
      <c r="D24" s="48" t="s">
        <v>229</v>
      </c>
      <c r="E24" s="4"/>
      <c r="F24" s="4"/>
      <c r="G24" s="4"/>
      <c r="H24" s="4"/>
      <c r="I24" s="4"/>
      <c r="J24" s="4"/>
      <c r="K24" s="4"/>
      <c r="L24" s="5"/>
    </row>
    <row r="25">
      <c r="A25" s="49">
        <v>22.0</v>
      </c>
      <c r="B25" s="49" t="s">
        <v>90</v>
      </c>
      <c r="C25" s="49" t="s">
        <v>230</v>
      </c>
      <c r="D25" s="50" t="s">
        <v>231</v>
      </c>
      <c r="E25" s="4"/>
      <c r="F25" s="4"/>
      <c r="G25" s="4"/>
      <c r="H25" s="4"/>
      <c r="I25" s="4"/>
      <c r="J25" s="4"/>
      <c r="K25" s="4"/>
      <c r="L25" s="5"/>
    </row>
    <row r="26">
      <c r="A26" s="47">
        <v>23.0</v>
      </c>
      <c r="B26" s="47" t="s">
        <v>98</v>
      </c>
      <c r="C26" s="47" t="s">
        <v>232</v>
      </c>
      <c r="D26" s="48" t="s">
        <v>233</v>
      </c>
      <c r="E26" s="4"/>
      <c r="F26" s="4"/>
      <c r="G26" s="4"/>
      <c r="H26" s="4"/>
      <c r="I26" s="4"/>
      <c r="J26" s="4"/>
      <c r="K26" s="4"/>
      <c r="L26" s="5"/>
    </row>
    <row r="27">
      <c r="A27" s="49">
        <v>24.0</v>
      </c>
      <c r="B27" s="49" t="s">
        <v>140</v>
      </c>
      <c r="C27" s="49" t="s">
        <v>234</v>
      </c>
      <c r="D27" s="50" t="s">
        <v>235</v>
      </c>
      <c r="E27" s="4"/>
      <c r="F27" s="4"/>
      <c r="G27" s="4"/>
      <c r="H27" s="4"/>
      <c r="I27" s="4"/>
      <c r="J27" s="4"/>
      <c r="K27" s="4"/>
      <c r="L27" s="5"/>
    </row>
    <row r="28">
      <c r="A28" s="47">
        <v>25.0</v>
      </c>
      <c r="B28" s="47" t="s">
        <v>49</v>
      </c>
      <c r="C28" s="47" t="s">
        <v>236</v>
      </c>
      <c r="D28" s="48" t="s">
        <v>237</v>
      </c>
      <c r="E28" s="4"/>
      <c r="F28" s="4"/>
      <c r="G28" s="4"/>
      <c r="H28" s="4"/>
      <c r="I28" s="4"/>
      <c r="J28" s="4"/>
      <c r="K28" s="4"/>
      <c r="L28" s="5"/>
    </row>
    <row r="29">
      <c r="A29" s="49">
        <v>26.0</v>
      </c>
      <c r="B29" s="49" t="s">
        <v>79</v>
      </c>
      <c r="C29" s="49" t="s">
        <v>238</v>
      </c>
      <c r="D29" s="50" t="s">
        <v>239</v>
      </c>
      <c r="E29" s="4"/>
      <c r="F29" s="4"/>
      <c r="G29" s="4"/>
      <c r="H29" s="4"/>
      <c r="I29" s="4"/>
      <c r="J29" s="4"/>
      <c r="K29" s="4"/>
      <c r="L29" s="5"/>
    </row>
    <row r="30">
      <c r="A30" s="47">
        <v>27.0</v>
      </c>
      <c r="B30" s="47" t="s">
        <v>68</v>
      </c>
      <c r="C30" s="47" t="s">
        <v>240</v>
      </c>
      <c r="D30" s="48" t="s">
        <v>241</v>
      </c>
      <c r="E30" s="4"/>
      <c r="F30" s="4"/>
      <c r="G30" s="4"/>
      <c r="H30" s="4"/>
      <c r="I30" s="4"/>
      <c r="J30" s="4"/>
      <c r="K30" s="4"/>
      <c r="L30" s="5"/>
    </row>
    <row r="31">
      <c r="A31" s="49">
        <v>28.0</v>
      </c>
      <c r="B31" s="49" t="s">
        <v>59</v>
      </c>
      <c r="C31" s="49" t="s">
        <v>242</v>
      </c>
      <c r="D31" s="50" t="s">
        <v>243</v>
      </c>
      <c r="E31" s="4"/>
      <c r="F31" s="4"/>
      <c r="G31" s="4"/>
      <c r="H31" s="4"/>
      <c r="I31" s="4"/>
      <c r="J31" s="4"/>
      <c r="K31" s="4"/>
      <c r="L31" s="5"/>
    </row>
    <row r="32">
      <c r="A32" s="47">
        <v>29.0</v>
      </c>
      <c r="B32" s="47" t="s">
        <v>244</v>
      </c>
      <c r="C32" s="47" t="s">
        <v>245</v>
      </c>
      <c r="D32" s="48" t="s">
        <v>246</v>
      </c>
      <c r="E32" s="4"/>
      <c r="F32" s="4"/>
      <c r="G32" s="4"/>
      <c r="H32" s="4"/>
      <c r="I32" s="4"/>
      <c r="J32" s="4"/>
      <c r="K32" s="4"/>
      <c r="L32" s="5"/>
    </row>
    <row r="33">
      <c r="A33" s="49">
        <v>30.0</v>
      </c>
      <c r="B33" s="49" t="s">
        <v>128</v>
      </c>
      <c r="C33" s="49" t="s">
        <v>247</v>
      </c>
      <c r="D33" s="50" t="s">
        <v>248</v>
      </c>
      <c r="E33" s="4"/>
      <c r="F33" s="4"/>
      <c r="G33" s="4"/>
      <c r="H33" s="4"/>
      <c r="I33" s="4"/>
      <c r="J33" s="4"/>
      <c r="K33" s="4"/>
      <c r="L33" s="5"/>
    </row>
    <row r="34">
      <c r="A34" s="47">
        <v>31.0</v>
      </c>
      <c r="B34" s="47" t="s">
        <v>142</v>
      </c>
      <c r="C34" s="47" t="s">
        <v>249</v>
      </c>
      <c r="D34" s="48" t="s">
        <v>250</v>
      </c>
      <c r="E34" s="4"/>
      <c r="F34" s="4"/>
      <c r="G34" s="4"/>
      <c r="H34" s="4"/>
      <c r="I34" s="4"/>
      <c r="J34" s="4"/>
      <c r="K34" s="4"/>
      <c r="L34" s="5"/>
    </row>
    <row r="35">
      <c r="A35" s="49">
        <v>32.0</v>
      </c>
      <c r="B35" s="49" t="s">
        <v>41</v>
      </c>
      <c r="C35" s="49" t="s">
        <v>251</v>
      </c>
      <c r="D35" s="50" t="s">
        <v>252</v>
      </c>
      <c r="E35" s="4"/>
      <c r="F35" s="4"/>
      <c r="G35" s="4"/>
      <c r="H35" s="4"/>
      <c r="I35" s="4"/>
      <c r="J35" s="4"/>
      <c r="K35" s="4"/>
      <c r="L35" s="5"/>
    </row>
    <row r="36">
      <c r="A36" s="47">
        <v>33.0</v>
      </c>
      <c r="B36" s="47" t="s">
        <v>42</v>
      </c>
      <c r="C36" s="47" t="s">
        <v>253</v>
      </c>
      <c r="D36" s="48" t="s">
        <v>254</v>
      </c>
      <c r="E36" s="4"/>
      <c r="F36" s="4"/>
      <c r="G36" s="4"/>
      <c r="H36" s="4"/>
      <c r="I36" s="4"/>
      <c r="J36" s="4"/>
      <c r="K36" s="4"/>
      <c r="L36" s="5"/>
    </row>
    <row r="37">
      <c r="A37" s="49">
        <v>34.0</v>
      </c>
      <c r="B37" s="49" t="s">
        <v>91</v>
      </c>
      <c r="C37" s="49" t="s">
        <v>255</v>
      </c>
      <c r="D37" s="50" t="s">
        <v>256</v>
      </c>
      <c r="E37" s="4"/>
      <c r="F37" s="4"/>
      <c r="G37" s="4"/>
      <c r="H37" s="4"/>
      <c r="I37" s="4"/>
      <c r="J37" s="4"/>
      <c r="K37" s="4"/>
      <c r="L37" s="5"/>
    </row>
    <row r="38">
      <c r="A38" s="47">
        <v>35.0</v>
      </c>
      <c r="B38" s="47" t="s">
        <v>257</v>
      </c>
      <c r="C38" s="47" t="s">
        <v>258</v>
      </c>
      <c r="D38" s="48" t="s">
        <v>259</v>
      </c>
      <c r="E38" s="4"/>
      <c r="F38" s="4"/>
      <c r="G38" s="4"/>
      <c r="H38" s="4"/>
      <c r="I38" s="4"/>
      <c r="J38" s="4"/>
      <c r="K38" s="4"/>
      <c r="L38" s="5"/>
    </row>
    <row r="39">
      <c r="A39" s="49">
        <v>36.0</v>
      </c>
      <c r="B39" s="49" t="s">
        <v>45</v>
      </c>
      <c r="C39" s="49" t="s">
        <v>260</v>
      </c>
      <c r="D39" s="50" t="s">
        <v>261</v>
      </c>
      <c r="E39" s="4"/>
      <c r="F39" s="4"/>
      <c r="G39" s="4"/>
      <c r="H39" s="4"/>
      <c r="I39" s="4"/>
      <c r="J39" s="4"/>
      <c r="K39" s="4"/>
      <c r="L39" s="5"/>
    </row>
    <row r="40">
      <c r="A40" s="47"/>
      <c r="B40" s="47"/>
      <c r="C40" s="47"/>
      <c r="D40" s="48"/>
      <c r="E40" s="4"/>
      <c r="F40" s="4"/>
      <c r="G40" s="4"/>
      <c r="H40" s="4"/>
      <c r="I40" s="4"/>
      <c r="J40" s="4"/>
      <c r="K40" s="4"/>
      <c r="L40" s="5"/>
    </row>
    <row r="41">
      <c r="A41" s="49"/>
      <c r="B41" s="49"/>
      <c r="C41" s="49"/>
      <c r="D41" s="50"/>
      <c r="E41" s="4"/>
      <c r="F41" s="4"/>
      <c r="G41" s="4"/>
      <c r="H41" s="4"/>
      <c r="I41" s="4"/>
      <c r="J41" s="4"/>
      <c r="K41" s="4"/>
      <c r="L41" s="5"/>
    </row>
    <row r="42">
      <c r="A42" s="47"/>
      <c r="B42" s="47"/>
      <c r="C42" s="47"/>
      <c r="D42" s="48"/>
      <c r="E42" s="4"/>
      <c r="F42" s="4"/>
      <c r="G42" s="4"/>
      <c r="H42" s="4"/>
      <c r="I42" s="4"/>
      <c r="J42" s="4"/>
      <c r="K42" s="4"/>
      <c r="L42" s="5"/>
    </row>
    <row r="43">
      <c r="A43" s="49"/>
      <c r="B43" s="49"/>
      <c r="C43" s="49"/>
      <c r="D43" s="50"/>
      <c r="E43" s="4"/>
      <c r="F43" s="4"/>
      <c r="G43" s="4"/>
      <c r="H43" s="4"/>
      <c r="I43" s="4"/>
      <c r="J43" s="4"/>
      <c r="K43" s="4"/>
      <c r="L43" s="5"/>
    </row>
  </sheetData>
  <mergeCells count="41">
    <mergeCell ref="D3:L3"/>
    <mergeCell ref="D4:L4"/>
    <mergeCell ref="D5:L5"/>
    <mergeCell ref="D6:L6"/>
    <mergeCell ref="D7:L7"/>
    <mergeCell ref="D8:L8"/>
    <mergeCell ref="D9:L9"/>
    <mergeCell ref="D10:L10"/>
    <mergeCell ref="D11:L11"/>
    <mergeCell ref="D12:L12"/>
    <mergeCell ref="D13:L13"/>
    <mergeCell ref="D14:L14"/>
    <mergeCell ref="D15:L15"/>
    <mergeCell ref="D16:L16"/>
    <mergeCell ref="D17:L17"/>
    <mergeCell ref="D18:L18"/>
    <mergeCell ref="D19:L19"/>
    <mergeCell ref="D20:L20"/>
    <mergeCell ref="D21:L21"/>
    <mergeCell ref="D22:L22"/>
    <mergeCell ref="D23:L23"/>
    <mergeCell ref="D24:L24"/>
    <mergeCell ref="D25:L25"/>
    <mergeCell ref="D26:L26"/>
    <mergeCell ref="D27:L27"/>
    <mergeCell ref="D28:L28"/>
    <mergeCell ref="D29:L29"/>
    <mergeCell ref="D30:L30"/>
    <mergeCell ref="D38:L38"/>
    <mergeCell ref="D39:L39"/>
    <mergeCell ref="D40:L40"/>
    <mergeCell ref="D41:L41"/>
    <mergeCell ref="D42:L42"/>
    <mergeCell ref="D43:L43"/>
    <mergeCell ref="D31:L31"/>
    <mergeCell ref="D32:L32"/>
    <mergeCell ref="D33:L33"/>
    <mergeCell ref="D34:L34"/>
    <mergeCell ref="D35:L35"/>
    <mergeCell ref="D36:L36"/>
    <mergeCell ref="D37:L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262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>
      <c r="P2" s="51"/>
      <c r="Q2" s="51"/>
      <c r="R2" s="51"/>
      <c r="S2" s="51"/>
      <c r="T2" s="51"/>
    </row>
    <row r="3">
      <c r="B3" s="52" t="s">
        <v>263</v>
      </c>
      <c r="P3" s="51"/>
      <c r="Q3" s="51"/>
      <c r="R3" s="51"/>
      <c r="S3" s="51"/>
      <c r="T3" s="51"/>
    </row>
    <row r="4">
      <c r="P4" s="51"/>
      <c r="Q4" s="51"/>
      <c r="R4" s="51"/>
      <c r="S4" s="51"/>
      <c r="T4" s="51"/>
    </row>
    <row r="5">
      <c r="C5" s="52" t="s">
        <v>264</v>
      </c>
      <c r="P5" s="51"/>
      <c r="Q5" s="51"/>
      <c r="R5" s="51"/>
      <c r="S5" s="51"/>
      <c r="T5" s="51"/>
    </row>
    <row r="6">
      <c r="D6" s="18" t="s">
        <v>265</v>
      </c>
      <c r="P6" s="51"/>
      <c r="Q6" s="51"/>
      <c r="R6" s="51"/>
      <c r="S6" s="51"/>
      <c r="T6" s="51"/>
    </row>
    <row r="7">
      <c r="E7" s="18" t="s">
        <v>266</v>
      </c>
      <c r="P7" s="51"/>
      <c r="Q7" s="51"/>
      <c r="R7" s="51"/>
      <c r="S7" s="51"/>
      <c r="T7" s="51"/>
    </row>
    <row r="8">
      <c r="P8" s="51"/>
      <c r="Q8" s="51"/>
      <c r="R8" s="51"/>
      <c r="S8" s="51"/>
      <c r="T8" s="51"/>
    </row>
    <row r="9">
      <c r="E9" s="18" t="s">
        <v>267</v>
      </c>
      <c r="P9" s="51"/>
      <c r="Q9" s="51"/>
      <c r="R9" s="51"/>
      <c r="S9" s="51"/>
      <c r="T9" s="51"/>
    </row>
    <row r="10">
      <c r="P10" s="51"/>
      <c r="Q10" s="51"/>
      <c r="R10" s="51"/>
      <c r="S10" s="51"/>
      <c r="T10" s="51"/>
    </row>
    <row r="11">
      <c r="E11" s="18" t="s">
        <v>268</v>
      </c>
      <c r="P11" s="51"/>
      <c r="Q11" s="51"/>
      <c r="R11" s="51"/>
      <c r="S11" s="51"/>
      <c r="T11" s="51"/>
    </row>
    <row r="12">
      <c r="P12" s="51"/>
      <c r="Q12" s="51"/>
      <c r="R12" s="51"/>
      <c r="S12" s="51"/>
      <c r="T12" s="51"/>
    </row>
    <row r="13">
      <c r="P13" s="51"/>
      <c r="Q13" s="51"/>
      <c r="R13" s="51"/>
      <c r="S13" s="51"/>
      <c r="T13" s="51"/>
    </row>
    <row r="14">
      <c r="P14" s="51"/>
      <c r="Q14" s="51"/>
      <c r="R14" s="51"/>
      <c r="S14" s="51"/>
      <c r="T14" s="51"/>
    </row>
    <row r="15">
      <c r="C15" s="52" t="s">
        <v>269</v>
      </c>
      <c r="P15" s="51"/>
      <c r="Q15" s="51"/>
      <c r="R15" s="51"/>
      <c r="S15" s="51"/>
      <c r="T15" s="51"/>
    </row>
    <row r="16">
      <c r="D16" s="18" t="s">
        <v>270</v>
      </c>
      <c r="P16" s="51"/>
      <c r="Q16" s="51"/>
      <c r="R16" s="51"/>
      <c r="S16" s="51"/>
      <c r="T16" s="51"/>
    </row>
    <row r="17">
      <c r="D17" s="52" t="s">
        <v>271</v>
      </c>
      <c r="P17" s="51"/>
      <c r="Q17" s="51"/>
      <c r="R17" s="51"/>
      <c r="S17" s="51"/>
      <c r="T17" s="51"/>
    </row>
    <row r="18">
      <c r="P18" s="51"/>
      <c r="Q18" s="51"/>
      <c r="R18" s="51"/>
      <c r="S18" s="51"/>
      <c r="T18" s="51"/>
    </row>
    <row r="19">
      <c r="D19" s="18" t="s">
        <v>272</v>
      </c>
      <c r="P19" s="51"/>
      <c r="Q19" s="51"/>
      <c r="R19" s="51"/>
      <c r="S19" s="51"/>
      <c r="T19" s="51"/>
    </row>
    <row r="20">
      <c r="P20" s="51"/>
      <c r="Q20" s="51"/>
      <c r="R20" s="51"/>
      <c r="S20" s="51"/>
      <c r="T20" s="51"/>
    </row>
    <row r="21">
      <c r="D21" s="52" t="s">
        <v>273</v>
      </c>
      <c r="P21" s="51"/>
      <c r="Q21" s="51"/>
      <c r="R21" s="51"/>
      <c r="S21" s="51"/>
      <c r="T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</row>
    <row r="23">
      <c r="A23" s="51"/>
      <c r="B23" s="51"/>
      <c r="C23" s="51"/>
      <c r="D23" s="53" t="s">
        <v>274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</row>
    <row r="32">
      <c r="A32" s="51"/>
      <c r="B32" s="51"/>
      <c r="C32" s="51"/>
      <c r="Q32" s="51"/>
      <c r="R32" s="51"/>
      <c r="S32" s="51"/>
      <c r="T32" s="51"/>
    </row>
    <row r="33">
      <c r="A33" s="51"/>
      <c r="B33" s="51"/>
      <c r="Q33" s="51"/>
      <c r="R33" s="51"/>
      <c r="S33" s="51"/>
      <c r="T33" s="51"/>
    </row>
    <row r="34">
      <c r="A34" s="51"/>
      <c r="B34" s="51"/>
      <c r="D34" s="54" t="s">
        <v>275</v>
      </c>
      <c r="Q34" s="51"/>
      <c r="R34" s="51"/>
      <c r="S34" s="51"/>
      <c r="T34" s="51"/>
    </row>
    <row r="35">
      <c r="A35" s="51"/>
      <c r="B35" s="51"/>
      <c r="D35" s="52" t="s">
        <v>276</v>
      </c>
      <c r="Q35" s="51"/>
      <c r="R35" s="51"/>
      <c r="S35" s="51"/>
      <c r="T35" s="51"/>
    </row>
    <row r="36">
      <c r="A36" s="51"/>
      <c r="B36" s="51"/>
      <c r="Q36" s="51"/>
      <c r="R36" s="51"/>
      <c r="S36" s="51"/>
      <c r="T36" s="51"/>
    </row>
    <row r="37">
      <c r="A37" s="51"/>
      <c r="B37" s="51"/>
      <c r="Q37" s="51"/>
      <c r="R37" s="51"/>
      <c r="S37" s="51"/>
      <c r="T37" s="51"/>
    </row>
    <row r="38">
      <c r="A38" s="51"/>
      <c r="B38" s="51"/>
      <c r="D38" s="55" t="s">
        <v>277</v>
      </c>
      <c r="Q38" s="51"/>
      <c r="R38" s="51"/>
      <c r="S38" s="51"/>
      <c r="T38" s="51"/>
    </row>
    <row r="39">
      <c r="D39" s="52" t="s">
        <v>278</v>
      </c>
    </row>
    <row r="40">
      <c r="D40" s="55" t="s">
        <v>279</v>
      </c>
    </row>
    <row r="44">
      <c r="C44" s="18" t="s">
        <v>280</v>
      </c>
    </row>
    <row r="45">
      <c r="D45" s="18" t="s">
        <v>281</v>
      </c>
    </row>
    <row r="46">
      <c r="E46" s="18" t="s">
        <v>282</v>
      </c>
    </row>
    <row r="47">
      <c r="E47" s="18" t="s">
        <v>283</v>
      </c>
    </row>
    <row r="49">
      <c r="D49" s="18" t="s">
        <v>284</v>
      </c>
    </row>
    <row r="50">
      <c r="E50" s="18" t="s">
        <v>285</v>
      </c>
    </row>
    <row r="52">
      <c r="D52" s="18" t="s">
        <v>286</v>
      </c>
    </row>
    <row r="53">
      <c r="E53" s="18" t="s">
        <v>287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4" t="s">
        <v>127</v>
      </c>
      <c r="B1" s="45"/>
      <c r="C1" s="56" t="s">
        <v>288</v>
      </c>
      <c r="D1" s="56" t="s">
        <v>289</v>
      </c>
      <c r="E1" s="45"/>
      <c r="F1" s="45"/>
      <c r="G1" s="45"/>
      <c r="H1" s="57" t="s">
        <v>290</v>
      </c>
      <c r="I1" s="45"/>
      <c r="J1" s="45"/>
      <c r="K1" s="45"/>
      <c r="L1" s="45"/>
      <c r="M1" s="45"/>
      <c r="N1" s="45"/>
      <c r="O1" s="45"/>
      <c r="P1" s="45"/>
    </row>
    <row r="3">
      <c r="A3" s="18">
        <v>1.0</v>
      </c>
      <c r="B3" s="18" t="s">
        <v>291</v>
      </c>
    </row>
    <row r="4">
      <c r="C4" s="34" t="s">
        <v>163</v>
      </c>
      <c r="D4" s="35" t="s">
        <v>164</v>
      </c>
      <c r="E4" s="36" t="s">
        <v>165</v>
      </c>
      <c r="F4" s="37" t="s">
        <v>166</v>
      </c>
      <c r="G4" s="38" t="s">
        <v>167</v>
      </c>
      <c r="H4" s="39" t="s">
        <v>168</v>
      </c>
      <c r="I4" s="40" t="s">
        <v>169</v>
      </c>
      <c r="J4" s="41" t="s">
        <v>170</v>
      </c>
      <c r="K4" s="41" t="s">
        <v>171</v>
      </c>
    </row>
    <row r="5">
      <c r="C5" s="17" t="str">
        <f t="array" ref="C5">XLOOKUP($A$1,'清單'!$B$4:$B$26,'清單'!C4:C26,0,1,1)</f>
        <v>一般型</v>
      </c>
      <c r="D5" s="17" t="str">
        <f t="array" ref="D5">XLOOKUP($A$1,'清單'!$B$4:$B$26,'清單'!D4:D26,0,1,1)</f>
        <v>對應顏色</v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Color Box</v>
      </c>
      <c r="K5" s="22">
        <f t="array" ref="K5">XLOOKUP($A$1,'清單'!$B$4:$B$26,'清單'!K4:K26,0,1,1)</f>
        <v>121</v>
      </c>
    </row>
    <row r="6">
      <c r="K6" s="18"/>
    </row>
    <row r="7">
      <c r="N7" s="18" t="s">
        <v>292</v>
      </c>
    </row>
    <row r="8">
      <c r="A8" s="18">
        <v>2.0</v>
      </c>
      <c r="B8" s="18" t="s">
        <v>293</v>
      </c>
      <c r="M8" s="18">
        <v>2.5</v>
      </c>
      <c r="N8" s="58" t="s">
        <v>294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  <c r="N9" s="18" t="s">
        <v>296</v>
      </c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  <c r="N10" s="18" t="s">
        <v>297</v>
      </c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  <c r="N12" s="18" t="s">
        <v>298</v>
      </c>
    </row>
    <row r="13">
      <c r="C13" s="60" t="str">
        <f>if(ISBLANK($D$5),"無",CONCATENATE($D$5))</f>
        <v>對應顏色</v>
      </c>
      <c r="D13" s="61" t="str">
        <f t="array" ref="D13">if(ISBLANK($D$5),"無",XLOOKUP($D$5,Glossary!B:B,Glossary!D:D,1,1,1))</f>
        <v>需要對應顏色的元素消除才能做出有效消除。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  <c r="N14" s="18" t="s">
        <v>299</v>
      </c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  <c r="N15" s="18" t="s">
        <v>300</v>
      </c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  <c r="N17" s="54" t="s">
        <v>301</v>
      </c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0">
      <c r="C30" s="18" t="s">
        <v>302</v>
      </c>
    </row>
    <row r="31">
      <c r="C31" s="64" t="s">
        <v>303</v>
      </c>
    </row>
    <row r="32">
      <c r="M32" s="18">
        <v>3.5</v>
      </c>
      <c r="N32" s="18" t="s">
        <v>304</v>
      </c>
    </row>
    <row r="33">
      <c r="N33" s="18" t="s">
        <v>305</v>
      </c>
    </row>
    <row r="34">
      <c r="N34" s="18" t="s">
        <v>306</v>
      </c>
    </row>
    <row r="35">
      <c r="A35" s="18">
        <v>3.0</v>
      </c>
      <c r="B35" s="18" t="s">
        <v>307</v>
      </c>
      <c r="O35" s="18" t="s">
        <v>308</v>
      </c>
      <c r="P35" s="18" t="s">
        <v>309</v>
      </c>
      <c r="Q35" s="18" t="s">
        <v>310</v>
      </c>
    </row>
    <row r="36">
      <c r="C36" s="18" t="s">
        <v>311</v>
      </c>
      <c r="D36" s="18" t="s">
        <v>312</v>
      </c>
      <c r="E36" s="18">
        <v>0.0</v>
      </c>
      <c r="O36" s="18" t="s">
        <v>313</v>
      </c>
      <c r="P36" s="18" t="s">
        <v>314</v>
      </c>
      <c r="Q36" s="18" t="s">
        <v>315</v>
      </c>
    </row>
    <row r="37">
      <c r="D37" s="18" t="s">
        <v>316</v>
      </c>
      <c r="E37" s="18">
        <v>1.0</v>
      </c>
      <c r="O37" s="18" t="s">
        <v>317</v>
      </c>
      <c r="P37" s="18" t="s">
        <v>318</v>
      </c>
      <c r="R37" s="18" t="s">
        <v>319</v>
      </c>
    </row>
    <row r="38">
      <c r="D38" s="18" t="s">
        <v>320</v>
      </c>
      <c r="E38" s="18">
        <v>2.0</v>
      </c>
      <c r="O38" s="18" t="s">
        <v>321</v>
      </c>
      <c r="P38" s="18" t="s">
        <v>322</v>
      </c>
    </row>
    <row r="39">
      <c r="D39" s="18" t="s">
        <v>323</v>
      </c>
      <c r="E39" s="18">
        <v>3.0</v>
      </c>
    </row>
    <row r="40">
      <c r="D40" s="18" t="s">
        <v>324</v>
      </c>
      <c r="E40" s="18">
        <v>4.0</v>
      </c>
    </row>
    <row r="41">
      <c r="D41" s="18" t="s">
        <v>325</v>
      </c>
      <c r="E41" s="18">
        <v>5.0</v>
      </c>
    </row>
    <row r="42">
      <c r="C42" s="18" t="s">
        <v>326</v>
      </c>
    </row>
    <row r="43">
      <c r="C43" s="18" t="s">
        <v>327</v>
      </c>
    </row>
    <row r="44">
      <c r="C44" s="18" t="s">
        <v>328</v>
      </c>
    </row>
    <row r="45">
      <c r="C45" s="18" t="s">
        <v>329</v>
      </c>
    </row>
    <row r="47">
      <c r="C47" s="18" t="s">
        <v>330</v>
      </c>
    </row>
    <row r="49">
      <c r="C49" s="18" t="s">
        <v>331</v>
      </c>
    </row>
    <row r="50">
      <c r="D50" s="18"/>
    </row>
    <row r="51">
      <c r="D51" s="18" t="s">
        <v>332</v>
      </c>
    </row>
    <row r="52">
      <c r="D52" s="18" t="s">
        <v>333</v>
      </c>
    </row>
    <row r="53">
      <c r="D53" s="18" t="s">
        <v>334</v>
      </c>
    </row>
    <row r="83">
      <c r="C83" s="64" t="s">
        <v>335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  <hyperlink display="詳細規則見下方元素排列及生成物說明" location="'1.元素+元素生成器'!C49" ref="C31"/>
    <hyperlink display="以上的道具產生於消除點，消除點相關規則見消除定義頁籤" location="'消除定義'!A1" ref="C83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4" t="s">
        <v>141</v>
      </c>
      <c r="B1" s="45"/>
      <c r="C1" s="56" t="s">
        <v>288</v>
      </c>
      <c r="D1" s="56" t="s">
        <v>336</v>
      </c>
      <c r="E1" s="45"/>
      <c r="F1" s="45"/>
      <c r="G1" s="45"/>
      <c r="H1" s="57" t="s">
        <v>290</v>
      </c>
      <c r="I1" s="45"/>
      <c r="J1" s="45"/>
      <c r="K1" s="45"/>
      <c r="L1" s="45"/>
      <c r="M1" s="45"/>
      <c r="N1" s="45"/>
      <c r="O1" s="45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  <c r="M4" s="73"/>
    </row>
    <row r="5">
      <c r="C5" s="17" t="str">
        <f t="array" ref="C5">XLOOKUP($A$1,'清單'!$B$4:$B$26,'清單'!C4:C26,0,1,1)</f>
        <v>一般型</v>
      </c>
      <c r="D5" s="17" t="str">
        <f t="array" ref="D5">XLOOKUP($A$1,'清單'!$B$4:$B$26,'清單'!D4:D26,0,1,1)</f>
        <v>複數地塊</v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Bush</v>
      </c>
      <c r="K5" s="22">
        <f t="array" ref="K5">XLOOKUP($A$1,'清單'!$B$4:$B$26,'清單'!K4:K26,0,1,1)</f>
        <v>71</v>
      </c>
      <c r="M5" s="73"/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  <c r="P10" s="58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複數地塊</v>
      </c>
      <c r="D13" s="61" t="str">
        <f t="array" ref="D13">if(ISBLANK($D$5),"無",XLOOKUP($D$5,Glossary!B:B,Glossary!D:D,1,1,1))</f>
        <v>物件最小存在單位超過一個地塊。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C31" s="18" t="s">
        <v>339</v>
      </c>
    </row>
    <row r="32">
      <c r="C32" s="18" t="s">
        <v>340</v>
      </c>
    </row>
    <row r="33">
      <c r="C33" s="18" t="s">
        <v>341</v>
      </c>
    </row>
    <row r="35">
      <c r="C35" s="18" t="s">
        <v>342</v>
      </c>
    </row>
    <row r="37">
      <c r="C37" s="18" t="s">
        <v>343</v>
      </c>
    </row>
    <row r="38">
      <c r="C38" s="74" t="s">
        <v>308</v>
      </c>
      <c r="D38" s="18" t="s">
        <v>344</v>
      </c>
    </row>
    <row r="39">
      <c r="D39" s="18" t="s">
        <v>345</v>
      </c>
    </row>
    <row r="41">
      <c r="C41" s="74" t="s">
        <v>313</v>
      </c>
      <c r="D41" s="18" t="s">
        <v>346</v>
      </c>
    </row>
    <row r="42">
      <c r="D42" s="18" t="s">
        <v>347</v>
      </c>
    </row>
    <row r="44">
      <c r="C44" s="74" t="s">
        <v>317</v>
      </c>
      <c r="D44" s="18" t="s">
        <v>348</v>
      </c>
    </row>
    <row r="45">
      <c r="D45" s="18" t="s">
        <v>349</v>
      </c>
    </row>
    <row r="47">
      <c r="C47" s="74" t="s">
        <v>321</v>
      </c>
      <c r="D47" s="18" t="s">
        <v>350</v>
      </c>
    </row>
    <row r="48">
      <c r="D48" s="18" t="s">
        <v>351</v>
      </c>
    </row>
    <row r="51">
      <c r="A51" s="18">
        <v>3.0</v>
      </c>
      <c r="B51" s="18" t="s">
        <v>352</v>
      </c>
    </row>
    <row r="52">
      <c r="C52" s="18" t="s">
        <v>353</v>
      </c>
    </row>
    <row r="54">
      <c r="C54" s="75" t="s">
        <v>354</v>
      </c>
    </row>
    <row r="56">
      <c r="C56" s="75" t="s">
        <v>355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4" t="s">
        <v>145</v>
      </c>
      <c r="B1" s="45"/>
      <c r="C1" s="56" t="s">
        <v>288</v>
      </c>
      <c r="D1" s="56" t="s">
        <v>356</v>
      </c>
      <c r="E1" s="45"/>
      <c r="F1" s="45"/>
      <c r="G1" s="45"/>
      <c r="H1" s="57" t="s">
        <v>290</v>
      </c>
      <c r="I1" s="45"/>
      <c r="J1" s="45"/>
      <c r="K1" s="45"/>
      <c r="L1" s="45"/>
      <c r="M1" s="45"/>
      <c r="N1" s="45"/>
      <c r="O1" s="45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容器</v>
      </c>
      <c r="D5" s="17" t="str">
        <f t="array" ref="D5">XLOOKUP($A$1,'清單'!$B$4:$B$26,'清單'!D4:D26,0,1,1)</f>
        <v>特殊屬性</v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混合消除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https://royalmatch.fandom.com/wiki/Dynamite_Box</v>
      </c>
      <c r="K5" s="22">
        <f t="array" ref="K5">XLOOKUP($A$1,'清單'!$B$4:$B$26,'清單'!K4:K26,0,1,1)</f>
        <v>351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容器</v>
      </c>
      <c r="D10" s="61" t="str">
        <f t="array" ref="D10">XLOOKUP($C$5,Glossary!$B:$B,Glossary!$D:$D,1,1,1)</f>
        <v>容器障礙物一般來說分成兩個階段，階段1為單次消除打開層級，可能有數層。階段2具有單次消除或多次消除的內容物。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特殊屬性</v>
      </c>
      <c r="D13" s="61" t="str">
        <f t="array" ref="D13">if(ISBLANK($D$5),"無",XLOOKUP($D$5,Glossary!B:B,Glossary!D:D,1,1,1))</f>
        <v>雖然障礙物大致上符合某種類型的劃分，但有局部獨特的效果屬性，在清單中以此做分類，並會在該障礙物文件中詳細闡述。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混合消除</v>
      </c>
      <c r="D22" s="61" t="str">
        <f t="array" ref="D22">if(ISBLANK($G$5),"無",XLOOKUP($G$5,Glossary!B:B,Glossary!D:D,1,1,1))</f>
        <v>單一障礙物的不同層級，存在單次消除和多次消除的設定，定義為混合消除。避免設計者混淆。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29">
      <c r="C29" s="18"/>
    </row>
    <row r="30">
      <c r="G30" s="18"/>
    </row>
    <row r="31">
      <c r="C31" s="18" t="s">
        <v>342</v>
      </c>
      <c r="K31" s="18" t="s">
        <v>357</v>
      </c>
    </row>
    <row r="32">
      <c r="C32" s="18" t="s">
        <v>358</v>
      </c>
    </row>
    <row r="45">
      <c r="C45" s="18" t="s">
        <v>359</v>
      </c>
    </row>
    <row r="46">
      <c r="C46" s="74" t="s">
        <v>308</v>
      </c>
      <c r="D46" s="18" t="s">
        <v>360</v>
      </c>
    </row>
    <row r="47">
      <c r="D47" s="18" t="s">
        <v>361</v>
      </c>
    </row>
    <row r="49">
      <c r="C49" s="74" t="s">
        <v>313</v>
      </c>
      <c r="D49" s="18" t="s">
        <v>362</v>
      </c>
      <c r="E49" s="18" t="s">
        <v>363</v>
      </c>
    </row>
    <row r="50">
      <c r="D50" s="18" t="s">
        <v>349</v>
      </c>
    </row>
    <row r="52">
      <c r="C52" s="74" t="s">
        <v>317</v>
      </c>
      <c r="D52" s="18" t="s">
        <v>364</v>
      </c>
      <c r="E52" s="18" t="s">
        <v>363</v>
      </c>
    </row>
    <row r="53">
      <c r="D53" s="18" t="s">
        <v>365</v>
      </c>
    </row>
    <row r="55">
      <c r="C55" s="74" t="s">
        <v>321</v>
      </c>
      <c r="D55" s="18" t="s">
        <v>366</v>
      </c>
    </row>
    <row r="56">
      <c r="D56" s="18" t="s">
        <v>367</v>
      </c>
    </row>
    <row r="59">
      <c r="A59" s="18">
        <v>3.0</v>
      </c>
      <c r="B59" s="18" t="s">
        <v>352</v>
      </c>
    </row>
    <row r="60">
      <c r="C60" s="18" t="s">
        <v>368</v>
      </c>
    </row>
    <row r="62">
      <c r="C62" s="75" t="s">
        <v>369</v>
      </c>
    </row>
    <row r="64">
      <c r="C64" s="75" t="s">
        <v>370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4" t="s">
        <v>371</v>
      </c>
      <c r="B1" s="45"/>
      <c r="C1" s="56" t="s">
        <v>288</v>
      </c>
      <c r="D1" s="56" t="s">
        <v>372</v>
      </c>
      <c r="E1" s="45"/>
      <c r="F1" s="45"/>
      <c r="G1" s="45"/>
      <c r="H1" s="57" t="s">
        <v>290</v>
      </c>
      <c r="I1" s="45"/>
      <c r="J1" s="45"/>
      <c r="K1" s="45"/>
      <c r="L1" s="45"/>
      <c r="M1" s="45"/>
      <c r="N1" s="45"/>
      <c r="O1" s="45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一般型</v>
      </c>
      <c r="D5" s="17" t="str">
        <f t="array" ref="D5">XLOOKUP($A$1,'清單'!$B$4:$B$26,'清單'!D4:D26,0,1,1)</f>
        <v>對應顏色</v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Color Box</v>
      </c>
      <c r="K5" s="21">
        <f t="array" ref="K5">XLOOKUP($A$1,'清單'!$B$4:$B$26,'清單'!K4:K26,0,1,1)</f>
        <v>121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對應顏色</v>
      </c>
      <c r="D13" s="61" t="str">
        <f t="array" ref="D13">if(ISBLANK($D$5),"無",XLOOKUP($D$5,Glossary!B:B,Glossary!D:D,1,1,1))</f>
        <v>需要對應顏色的元素消除才能做出有效消除。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29">
      <c r="B29" s="18"/>
    </row>
    <row r="30">
      <c r="B30" s="18"/>
      <c r="C30" s="18"/>
      <c r="D30" s="18"/>
      <c r="E30" s="18"/>
      <c r="F30" s="18"/>
      <c r="G30" s="18"/>
      <c r="H30" s="18"/>
    </row>
    <row r="31">
      <c r="B31" s="18"/>
      <c r="C31" s="18" t="s">
        <v>373</v>
      </c>
      <c r="D31" s="18"/>
      <c r="E31" s="18"/>
      <c r="F31" s="18"/>
      <c r="G31" s="18"/>
      <c r="H31" s="18"/>
      <c r="J31" s="18" t="s">
        <v>374</v>
      </c>
    </row>
    <row r="32">
      <c r="B32" s="18"/>
      <c r="C32" s="18" t="s">
        <v>375</v>
      </c>
      <c r="D32" s="18"/>
      <c r="E32" s="18"/>
      <c r="F32" s="18"/>
      <c r="G32" s="18"/>
      <c r="H32" s="18"/>
    </row>
    <row r="33">
      <c r="B33" s="18"/>
      <c r="C33" s="18" t="s">
        <v>376</v>
      </c>
      <c r="D33" s="18"/>
      <c r="E33" s="18"/>
      <c r="F33" s="18"/>
      <c r="G33" s="18"/>
      <c r="H33" s="18"/>
    </row>
    <row r="34">
      <c r="B34" s="18"/>
      <c r="C34" s="18" t="s">
        <v>377</v>
      </c>
      <c r="D34" s="18"/>
      <c r="E34" s="18"/>
      <c r="F34" s="18"/>
      <c r="G34" s="18"/>
      <c r="H34" s="18"/>
    </row>
    <row r="35">
      <c r="B35" s="18"/>
      <c r="C35" s="18" t="s">
        <v>378</v>
      </c>
      <c r="D35" s="18"/>
      <c r="E35" s="18"/>
      <c r="F35" s="18"/>
      <c r="G35" s="18"/>
      <c r="H35" s="18"/>
    </row>
    <row r="36">
      <c r="B36" s="18"/>
      <c r="C36" s="18" t="s">
        <v>379</v>
      </c>
      <c r="D36" s="18"/>
      <c r="E36" s="18"/>
      <c r="F36" s="18"/>
      <c r="G36" s="18"/>
      <c r="H36" s="18"/>
    </row>
    <row r="37">
      <c r="B37" s="18"/>
      <c r="C37" s="18" t="s">
        <v>380</v>
      </c>
      <c r="D37" s="18"/>
      <c r="E37" s="18"/>
      <c r="F37" s="18"/>
      <c r="G37" s="18"/>
      <c r="H37" s="18"/>
    </row>
    <row r="38">
      <c r="B38" s="18"/>
      <c r="C38" s="18"/>
      <c r="D38" s="18"/>
      <c r="E38" s="18"/>
      <c r="F38" s="18"/>
      <c r="G38" s="18"/>
      <c r="H38" s="18"/>
    </row>
    <row r="39">
      <c r="B39" s="18"/>
      <c r="C39" s="18" t="s">
        <v>381</v>
      </c>
      <c r="D39" s="18"/>
      <c r="E39" s="18"/>
      <c r="F39" s="18"/>
      <c r="G39" s="18"/>
      <c r="H39" s="18"/>
    </row>
    <row r="40">
      <c r="B40" s="18"/>
      <c r="C40" s="74" t="s">
        <v>308</v>
      </c>
      <c r="D40" s="18" t="s">
        <v>382</v>
      </c>
      <c r="E40" s="18"/>
      <c r="F40" s="18"/>
      <c r="G40" s="18"/>
      <c r="H40" s="18"/>
    </row>
    <row r="41">
      <c r="B41" s="18"/>
      <c r="C41" s="74"/>
      <c r="D41" s="18" t="s">
        <v>383</v>
      </c>
      <c r="E41" s="18"/>
      <c r="F41" s="18"/>
      <c r="G41" s="18"/>
      <c r="H41" s="18"/>
    </row>
    <row r="42">
      <c r="B42" s="18"/>
      <c r="C42" s="74"/>
      <c r="D42" s="18"/>
      <c r="E42" s="18"/>
      <c r="F42" s="18"/>
      <c r="G42" s="18"/>
      <c r="H42" s="18"/>
      <c r="J42" s="18" t="s">
        <v>384</v>
      </c>
    </row>
    <row r="43">
      <c r="B43" s="18"/>
      <c r="C43" s="74" t="s">
        <v>313</v>
      </c>
      <c r="D43" s="18" t="s">
        <v>385</v>
      </c>
      <c r="E43" s="18"/>
      <c r="F43" s="18"/>
      <c r="G43" s="18"/>
      <c r="H43" s="18"/>
    </row>
    <row r="44">
      <c r="B44" s="18"/>
      <c r="C44" s="74"/>
      <c r="D44" s="18" t="s">
        <v>386</v>
      </c>
      <c r="E44" s="18"/>
      <c r="F44" s="18"/>
      <c r="G44" s="18"/>
      <c r="H44" s="18"/>
    </row>
    <row r="45">
      <c r="B45" s="18"/>
      <c r="C45" s="74"/>
      <c r="D45" s="18"/>
      <c r="E45" s="18"/>
      <c r="F45" s="18"/>
      <c r="G45" s="18"/>
      <c r="H45" s="18"/>
    </row>
    <row r="46">
      <c r="B46" s="18"/>
      <c r="C46" s="74" t="s">
        <v>317</v>
      </c>
      <c r="D46" s="18" t="s">
        <v>387</v>
      </c>
      <c r="E46" s="18"/>
      <c r="F46" s="18"/>
      <c r="G46" s="18"/>
      <c r="H46" s="18"/>
    </row>
    <row r="47">
      <c r="B47" s="18"/>
      <c r="C47" s="74"/>
      <c r="D47" s="18" t="s">
        <v>388</v>
      </c>
      <c r="E47" s="18"/>
      <c r="F47" s="18"/>
      <c r="G47" s="18"/>
      <c r="H47" s="18"/>
    </row>
    <row r="48">
      <c r="D48" s="18"/>
    </row>
    <row r="49">
      <c r="C49" s="74" t="s">
        <v>321</v>
      </c>
      <c r="D49" s="18" t="s">
        <v>389</v>
      </c>
    </row>
    <row r="50">
      <c r="D50" s="18" t="s">
        <v>390</v>
      </c>
    </row>
    <row r="53">
      <c r="A53" s="18">
        <v>3.0</v>
      </c>
      <c r="B53" s="18" t="s">
        <v>391</v>
      </c>
      <c r="C53" s="18"/>
    </row>
    <row r="54">
      <c r="C54" s="18" t="s">
        <v>392</v>
      </c>
    </row>
    <row r="56">
      <c r="C56" s="18" t="s">
        <v>393</v>
      </c>
    </row>
    <row r="57">
      <c r="C57" s="24">
        <v>1.0</v>
      </c>
      <c r="D57" s="24" t="s">
        <v>394</v>
      </c>
      <c r="E57" s="24">
        <v>1.0</v>
      </c>
    </row>
    <row r="58">
      <c r="C58" s="24">
        <v>2.0</v>
      </c>
      <c r="D58" s="24" t="s">
        <v>142</v>
      </c>
      <c r="E58" s="24">
        <v>0.0</v>
      </c>
    </row>
    <row r="59">
      <c r="C59" s="24">
        <v>3.0</v>
      </c>
      <c r="D59" s="24" t="s">
        <v>395</v>
      </c>
      <c r="E59" s="24">
        <v>10.0</v>
      </c>
    </row>
    <row r="60">
      <c r="C60" s="24">
        <v>4.0</v>
      </c>
      <c r="D60" s="24" t="s">
        <v>89</v>
      </c>
      <c r="E60" s="24">
        <v>10.0</v>
      </c>
    </row>
    <row r="61">
      <c r="C61" s="24">
        <v>5.0</v>
      </c>
      <c r="D61" s="24" t="s">
        <v>396</v>
      </c>
      <c r="E61" s="76">
        <v>0.0</v>
      </c>
      <c r="F61" s="54" t="s">
        <v>397</v>
      </c>
    </row>
    <row r="62">
      <c r="C62" s="24">
        <v>6.0</v>
      </c>
      <c r="D62" s="24" t="s">
        <v>398</v>
      </c>
      <c r="E62" s="24">
        <v>10.0</v>
      </c>
    </row>
    <row r="63">
      <c r="C63" s="24">
        <v>7.0</v>
      </c>
      <c r="D63" s="24" t="s">
        <v>399</v>
      </c>
      <c r="E63" s="24">
        <v>10.0</v>
      </c>
    </row>
    <row r="64">
      <c r="C64" s="24">
        <v>8.0</v>
      </c>
      <c r="D64" s="24" t="s">
        <v>400</v>
      </c>
      <c r="E64" s="24">
        <v>20.0</v>
      </c>
    </row>
    <row r="66">
      <c r="C66" s="18" t="s">
        <v>401</v>
      </c>
    </row>
    <row r="67">
      <c r="C67" s="18">
        <v>1.0</v>
      </c>
      <c r="D67" s="18" t="s">
        <v>402</v>
      </c>
      <c r="E67" s="18">
        <v>100.0</v>
      </c>
    </row>
    <row r="68">
      <c r="D68" s="18" t="s">
        <v>403</v>
      </c>
    </row>
    <row r="70">
      <c r="C70" s="18">
        <v>2.0</v>
      </c>
      <c r="D70" s="18" t="s">
        <v>404</v>
      </c>
      <c r="E70" s="18">
        <v>1.0</v>
      </c>
    </row>
    <row r="71">
      <c r="D71" s="18" t="s">
        <v>405</v>
      </c>
    </row>
    <row r="72">
      <c r="D72" s="18" t="s">
        <v>406</v>
      </c>
    </row>
    <row r="73">
      <c r="D73" s="54" t="s">
        <v>407</v>
      </c>
    </row>
    <row r="75">
      <c r="C75" s="18">
        <v>3.0</v>
      </c>
      <c r="D75" s="18" t="s">
        <v>408</v>
      </c>
      <c r="E75" s="74" t="s">
        <v>409</v>
      </c>
    </row>
    <row r="76">
      <c r="D76" s="18" t="s">
        <v>410</v>
      </c>
    </row>
    <row r="77">
      <c r="D77" s="18" t="s">
        <v>411</v>
      </c>
    </row>
    <row r="78">
      <c r="D78" s="18" t="s">
        <v>412</v>
      </c>
    </row>
    <row r="81">
      <c r="A81" s="18">
        <v>4.0</v>
      </c>
      <c r="B81" s="18" t="s">
        <v>352</v>
      </c>
    </row>
    <row r="82">
      <c r="C82" s="18" t="s">
        <v>413</v>
      </c>
    </row>
    <row r="84">
      <c r="C84" s="75" t="s">
        <v>414</v>
      </c>
    </row>
    <row r="86">
      <c r="C86" s="75" t="s">
        <v>415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4" t="s">
        <v>149</v>
      </c>
      <c r="B1" s="45"/>
      <c r="C1" s="56" t="s">
        <v>288</v>
      </c>
      <c r="D1" s="56" t="s">
        <v>416</v>
      </c>
      <c r="E1" s="45"/>
      <c r="F1" s="45"/>
      <c r="G1" s="45"/>
      <c r="H1" s="57" t="s">
        <v>290</v>
      </c>
      <c r="I1" s="45"/>
      <c r="J1" s="45"/>
      <c r="K1" s="45"/>
      <c r="L1" s="45"/>
      <c r="M1" s="45"/>
      <c r="N1" s="45"/>
      <c r="O1" s="45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  <c r="M4" s="73"/>
    </row>
    <row r="5">
      <c r="C5" s="17" t="str">
        <f t="array" ref="C5">XLOOKUP($A$1,'清單'!$B$4:$B$26,'清單'!C4:C26,0,1,1)</f>
        <v>一般型</v>
      </c>
      <c r="D5" s="17" t="str">
        <f t="array" ref="D5">XLOOKUP($A$1,'清單'!$B$4:$B$26,'清單'!D4:D26,0,1,1)</f>
        <v>對應顏色</v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Color Box</v>
      </c>
      <c r="K5" s="21">
        <f t="array" ref="K5">XLOOKUP($A$1,'清單'!$B$4:$B$26,'清單'!K4:K26,0,1,1)</f>
        <v>121</v>
      </c>
      <c r="M5" s="73"/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對應顏色</v>
      </c>
      <c r="D13" s="61" t="str">
        <f t="array" ref="D13">if(ISBLANK($D$5),"無",XLOOKUP($D$5,Glossary!B:B,Glossary!D:D,1,1,1))</f>
        <v>需要對應顏色的元素消除才能做出有效消除。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C31" s="18" t="s">
        <v>417</v>
      </c>
      <c r="H31" s="18" t="s">
        <v>418</v>
      </c>
    </row>
    <row r="32">
      <c r="C32" s="18" t="s">
        <v>308</v>
      </c>
      <c r="D32" s="18" t="s">
        <v>419</v>
      </c>
    </row>
    <row r="33">
      <c r="D33" s="18" t="s">
        <v>420</v>
      </c>
    </row>
    <row r="34">
      <c r="C34" s="18"/>
      <c r="D34" s="58"/>
    </row>
    <row r="35">
      <c r="C35" s="18" t="s">
        <v>313</v>
      </c>
      <c r="D35" s="58" t="s">
        <v>421</v>
      </c>
    </row>
    <row r="36">
      <c r="D36" s="18" t="s">
        <v>422</v>
      </c>
    </row>
    <row r="37">
      <c r="C37" s="18"/>
      <c r="D37" s="58"/>
    </row>
    <row r="38">
      <c r="C38" s="18" t="s">
        <v>317</v>
      </c>
      <c r="D38" s="58" t="s">
        <v>423</v>
      </c>
    </row>
    <row r="39">
      <c r="D39" s="18" t="s">
        <v>422</v>
      </c>
    </row>
    <row r="40">
      <c r="C40" s="18"/>
      <c r="D40" s="75"/>
      <c r="K40" s="58"/>
    </row>
    <row r="41">
      <c r="C41" s="18" t="s">
        <v>321</v>
      </c>
      <c r="D41" s="75" t="s">
        <v>424</v>
      </c>
      <c r="K41" s="58"/>
    </row>
    <row r="42">
      <c r="D42" s="75" t="s">
        <v>425</v>
      </c>
    </row>
    <row r="43">
      <c r="C43" s="18"/>
      <c r="D43" s="75"/>
    </row>
    <row r="44">
      <c r="C44" s="18" t="s">
        <v>426</v>
      </c>
      <c r="D44" s="75" t="s">
        <v>427</v>
      </c>
    </row>
    <row r="45">
      <c r="D45" s="75" t="s">
        <v>428</v>
      </c>
    </row>
    <row r="46">
      <c r="C46" s="18"/>
      <c r="D46" s="75"/>
    </row>
    <row r="47">
      <c r="C47" s="18" t="s">
        <v>429</v>
      </c>
      <c r="D47" s="75" t="s">
        <v>430</v>
      </c>
    </row>
    <row r="48">
      <c r="D48" s="75" t="s">
        <v>431</v>
      </c>
    </row>
    <row r="50">
      <c r="G50" s="73"/>
      <c r="H50" s="73"/>
    </row>
    <row r="51">
      <c r="A51" s="77">
        <v>3.0</v>
      </c>
      <c r="B51" s="73" t="s">
        <v>352</v>
      </c>
      <c r="C51" s="73"/>
    </row>
    <row r="52">
      <c r="A52" s="73"/>
      <c r="B52" s="73"/>
      <c r="C52" s="75" t="s">
        <v>432</v>
      </c>
    </row>
    <row r="54">
      <c r="C54" s="75" t="s">
        <v>433</v>
      </c>
    </row>
    <row r="56">
      <c r="C56" s="75" t="s">
        <v>434</v>
      </c>
    </row>
    <row r="59">
      <c r="A59" s="54">
        <v>4.0</v>
      </c>
      <c r="B59" s="54" t="s">
        <v>435</v>
      </c>
    </row>
    <row r="60">
      <c r="C60" s="18" t="s">
        <v>436</v>
      </c>
    </row>
    <row r="61">
      <c r="C61" s="18" t="s">
        <v>437</v>
      </c>
    </row>
    <row r="62">
      <c r="C62" s="18" t="s">
        <v>438</v>
      </c>
    </row>
    <row r="63">
      <c r="C63" s="18" t="s">
        <v>439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4" t="s">
        <v>37</v>
      </c>
      <c r="B1" s="45"/>
      <c r="C1" s="56" t="s">
        <v>288</v>
      </c>
      <c r="D1" s="56" t="s">
        <v>440</v>
      </c>
      <c r="E1" s="45"/>
      <c r="F1" s="45"/>
      <c r="G1" s="45"/>
      <c r="H1" s="57" t="s">
        <v>290</v>
      </c>
      <c r="I1" s="45"/>
      <c r="J1" s="45"/>
      <c r="K1" s="45"/>
      <c r="L1" s="45"/>
      <c r="M1" s="45"/>
      <c r="N1" s="45"/>
      <c r="O1" s="45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  <c r="M4" s="73"/>
    </row>
    <row r="5">
      <c r="C5" s="17" t="str">
        <f t="array" ref="C5">XLOOKUP($A$1,'清單'!$B$4:$B$26,'清單'!C4:C26,0,1,1)</f>
        <v>一般型</v>
      </c>
      <c r="D5" s="17" t="str">
        <f t="array" ref="D5">XLOOKUP($A$1,'清單'!$B$4:$B$26,'清單'!D4:D26,0,1,1)</f>
        <v>對應顏色</v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Color Box</v>
      </c>
      <c r="K5" s="21">
        <f t="array" ref="K5">XLOOKUP($A$1,'清單'!$B$4:$B$26,'清單'!K4:K26,0,1,1)</f>
        <v>121</v>
      </c>
      <c r="M5" s="73"/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對應顏色</v>
      </c>
      <c r="D13" s="61" t="str">
        <f t="array" ref="D13">if(ISBLANK($D$5),"無",XLOOKUP($D$5,Glossary!B:B,Glossary!D:D,1,1,1))</f>
        <v>需要對應顏色的元素消除才能做出有效消除。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</row>
    <row r="32">
      <c r="C32" s="18" t="s">
        <v>441</v>
      </c>
    </row>
    <row r="34">
      <c r="C34" s="75" t="s">
        <v>442</v>
      </c>
    </row>
    <row r="36">
      <c r="C36" s="18" t="s">
        <v>443</v>
      </c>
    </row>
    <row r="38">
      <c r="C38" s="18" t="s">
        <v>444</v>
      </c>
    </row>
    <row r="39">
      <c r="C39" s="18" t="s">
        <v>445</v>
      </c>
    </row>
    <row r="40">
      <c r="C40" s="18" t="s">
        <v>446</v>
      </c>
    </row>
    <row r="41">
      <c r="C41" s="18" t="s">
        <v>447</v>
      </c>
    </row>
    <row r="44">
      <c r="A44" s="18">
        <v>4.0</v>
      </c>
      <c r="B44" s="18" t="s">
        <v>4</v>
      </c>
    </row>
    <row r="45">
      <c r="C45" s="54" t="s">
        <v>448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4" t="s">
        <v>97</v>
      </c>
      <c r="B1" s="45"/>
      <c r="C1" s="56" t="s">
        <v>288</v>
      </c>
      <c r="D1" s="56" t="s">
        <v>99</v>
      </c>
      <c r="E1" s="45"/>
      <c r="F1" s="45"/>
      <c r="G1" s="45"/>
      <c r="H1" s="57" t="s">
        <v>290</v>
      </c>
      <c r="I1" s="45"/>
      <c r="J1" s="45"/>
      <c r="K1" s="45"/>
      <c r="L1" s="45"/>
      <c r="M1" s="45"/>
      <c r="N1" s="45"/>
      <c r="O1" s="45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下層型</v>
      </c>
      <c r="D5" s="17" t="str">
        <f t="array" ref="D5">XLOOKUP($A$1,'清單'!$B$4:$B$26,'清單'!D4:D26,0,1,1)</f>
        <v/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原地消除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Grass</v>
      </c>
      <c r="K5" s="21">
        <f t="array" ref="K5">XLOOKUP($A$1,'清單'!$B$4:$B$26,'清單'!K4:K26,0,1,1)</f>
        <v>4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下層型</v>
      </c>
      <c r="D10" s="61" t="str">
        <f t="array" ref="D10">XLOOKUP($C$5,Glossary!$B:$B,Glossary!$D:$D,1,1,1)</f>
        <v>下層型障礙物可以被其他障礙物覆蓋(不可被其他下層型障礙物覆蓋)，在下層型障礙物上還有其他障礙物未消除時，無法影響下層型障礙物。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無</v>
      </c>
      <c r="D13" s="61" t="str">
        <f t="array" ref="D13">if(ISBLANK($D$5),"無",XLOOKUP($D$5,Glossary!B:B,Glossary!D:D,1,1,1))</f>
        <v>無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原地消除</v>
      </c>
      <c r="D25" s="61" t="str">
        <f t="array" ref="D25">if(ISBLANK($H$5),,XLOOKUP($H$5,Glossary!B:B,Glossary!D:D,1,1,1))</f>
        <v>在同一個地塊上，由基本元素拼湊後觸發的消除，會對物件產生消除效果。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</row>
    <row r="32">
      <c r="C32" s="18" t="s">
        <v>449</v>
      </c>
    </row>
    <row r="34">
      <c r="C34" s="18" t="s">
        <v>450</v>
      </c>
    </row>
    <row r="36">
      <c r="C36" s="18" t="s">
        <v>451</v>
      </c>
    </row>
    <row r="38">
      <c r="C38" s="18" t="s">
        <v>452</v>
      </c>
    </row>
    <row r="39">
      <c r="C39" s="18" t="s">
        <v>453</v>
      </c>
    </row>
    <row r="40">
      <c r="C40" s="18" t="s">
        <v>454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100</v>
      </c>
      <c r="B1" s="79"/>
      <c r="C1" s="79" t="s">
        <v>288</v>
      </c>
      <c r="D1" s="80" t="s">
        <v>455</v>
      </c>
      <c r="E1" s="79"/>
      <c r="F1" s="79"/>
      <c r="G1" s="79"/>
      <c r="H1" s="57" t="s">
        <v>290</v>
      </c>
      <c r="I1" s="79"/>
      <c r="J1" s="79"/>
      <c r="K1" s="79"/>
      <c r="L1" s="79"/>
      <c r="M1" s="79"/>
      <c r="N1" s="79"/>
      <c r="O1" s="79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容器</v>
      </c>
      <c r="D5" s="17" t="str">
        <f t="array" ref="D5">XLOOKUP($A$1,'清單'!$B$4:$B$26,'清單'!D4:D26,0,1,1)</f>
        <v>複數地塊</v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混合消除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Cupboard</v>
      </c>
      <c r="K5" s="21">
        <f t="array" ref="K5">XLOOKUP($A$1,'清單'!$B$4:$B$26,'清單'!K4:K26,0,1,1)</f>
        <v>11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容器</v>
      </c>
      <c r="D10" s="61" t="str">
        <f t="array" ref="D10">XLOOKUP($C$5,Glossary!$B:$B,Glossary!$D:$D,1,1,1)</f>
        <v>容器障礙物一般來說分成兩個階段，階段1為單次消除打開層級，可能有數層。階段2具有單次消除或多次消除的內容物。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複數地塊</v>
      </c>
      <c r="D13" s="61" t="str">
        <f t="array" ref="D13">if(ISBLANK($D$5),"無",XLOOKUP($D$5,Glossary!B:B,Glossary!D:D,1,1,1))</f>
        <v>物件最小存在單位超過一個地塊。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混合消除</v>
      </c>
      <c r="D22" s="61" t="str">
        <f t="array" ref="D22">if(ISBLANK($G$5),"無",XLOOKUP($G$5,Glossary!B:B,Glossary!D:D,1,1,1))</f>
        <v>單一障礙物的不同層級，存在單次消除和多次消除的設定，定義為混合消除。避免設計者混淆。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C31" s="18" t="s">
        <v>456</v>
      </c>
    </row>
    <row r="33">
      <c r="D33" s="18" t="s">
        <v>457</v>
      </c>
    </row>
    <row r="34">
      <c r="E34" s="81" t="s">
        <v>458</v>
      </c>
    </row>
    <row r="35">
      <c r="E35" s="18" t="s">
        <v>459</v>
      </c>
    </row>
    <row r="37">
      <c r="D37" s="18" t="s">
        <v>460</v>
      </c>
    </row>
    <row r="38">
      <c r="D38" s="58"/>
      <c r="E38" s="18" t="s">
        <v>461</v>
      </c>
    </row>
    <row r="40">
      <c r="C40" s="18" t="s">
        <v>462</v>
      </c>
    </row>
    <row r="43">
      <c r="A43" s="18">
        <v>3.0</v>
      </c>
      <c r="B43" s="18" t="s">
        <v>352</v>
      </c>
    </row>
    <row r="44">
      <c r="C44" s="18" t="s">
        <v>463</v>
      </c>
    </row>
    <row r="45">
      <c r="C45" s="18" t="s">
        <v>464</v>
      </c>
    </row>
    <row r="48">
      <c r="C48" s="18" t="s">
        <v>465</v>
      </c>
    </row>
    <row r="49">
      <c r="C49" s="18" t="s">
        <v>466</v>
      </c>
    </row>
    <row r="51">
      <c r="C51" s="18" t="s">
        <v>467</v>
      </c>
    </row>
    <row r="53">
      <c r="C53" s="18" t="s">
        <v>468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151</v>
      </c>
      <c r="B1" s="79"/>
      <c r="C1" s="79" t="s">
        <v>288</v>
      </c>
      <c r="D1" s="80" t="s">
        <v>469</v>
      </c>
      <c r="E1" s="79"/>
      <c r="F1" s="79"/>
      <c r="G1" s="79"/>
      <c r="H1" s="57" t="s">
        <v>290</v>
      </c>
      <c r="I1" s="79"/>
      <c r="J1" s="79"/>
      <c r="K1" s="79"/>
      <c r="L1" s="79"/>
      <c r="M1" s="79"/>
      <c r="N1" s="79"/>
      <c r="O1" s="79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  <c r="M4" s="73"/>
      <c r="N4" s="73"/>
    </row>
    <row r="5">
      <c r="C5" s="17" t="str">
        <f t="array" ref="C5">XLOOKUP($A$1,'清單'!$B$4:$B$26,'清單'!C4:C26,0,1,1)</f>
        <v>容器</v>
      </c>
      <c r="D5" s="17" t="str">
        <f t="array" ref="D5">XLOOKUP($A$1,'清單'!$B$4:$B$26,'清單'!D4:D26,0,1,1)</f>
        <v>複數地塊</v>
      </c>
      <c r="E5" s="17" t="str">
        <f t="array" ref="E5">XLOOKUP($A$1,'清單'!$B$4:$B$26,'清單'!E4:E26,0,1,1)</f>
        <v>對應顏色</v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Potion Bottle</v>
      </c>
      <c r="K5" s="21">
        <f t="array" ref="K5">XLOOKUP($A$1,'清單'!$B$4:$B$26,'清單'!K4:K26,0,1,1)</f>
        <v>41</v>
      </c>
      <c r="M5" s="73"/>
      <c r="N5" s="73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容器</v>
      </c>
      <c r="D10" s="61" t="str">
        <f t="array" ref="D10">XLOOKUP($C$5,Glossary!$B:$B,Glossary!$D:$D,1,1,1)</f>
        <v>容器障礙物一般來說分成兩個階段，階段1為單次消除打開層級，可能有數層。階段2具有單次消除或多次消除的內容物。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複數地塊</v>
      </c>
      <c r="D13" s="61" t="str">
        <f t="array" ref="D13">if(ISBLANK($D$5),"無",XLOOKUP($D$5,Glossary!B:B,Glossary!D:D,1,1,1))</f>
        <v>物件最小存在單位超過一個地塊。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對應顏色</v>
      </c>
      <c r="D16" s="61" t="str">
        <f t="array" ref="D16">if(ISBLANK($E$5),"無",XLOOKUP($E$5,Glossary!B:B,Glossary!D:D,1,1,1))</f>
        <v>需要對應顏色的元素消除才能做出有效消除。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C31" s="18" t="s">
        <v>470</v>
      </c>
    </row>
    <row r="34">
      <c r="A34" s="18">
        <v>3.0</v>
      </c>
      <c r="B34" s="18" t="s">
        <v>352</v>
      </c>
    </row>
    <row r="35">
      <c r="C35" s="18" t="s">
        <v>471</v>
      </c>
    </row>
    <row r="37">
      <c r="C37" s="18" t="s">
        <v>472</v>
      </c>
    </row>
    <row r="38">
      <c r="C38" s="18" t="s">
        <v>473</v>
      </c>
    </row>
    <row r="39">
      <c r="C39" s="18" t="s">
        <v>474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46</v>
      </c>
      <c r="B1" s="79"/>
      <c r="C1" s="79" t="s">
        <v>288</v>
      </c>
      <c r="D1" s="80" t="s">
        <v>475</v>
      </c>
      <c r="E1" s="79"/>
      <c r="F1" s="79"/>
      <c r="G1" s="79"/>
      <c r="H1" s="57" t="s">
        <v>290</v>
      </c>
      <c r="I1" s="79"/>
      <c r="J1" s="79"/>
      <c r="K1" s="79"/>
      <c r="L1" s="79"/>
      <c r="M1" s="79"/>
      <c r="N1" s="79"/>
      <c r="O1" s="79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18">
        <v>1.0</v>
      </c>
      <c r="B3" s="18" t="s">
        <v>337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一般型</v>
      </c>
      <c r="D5" s="17" t="str">
        <f t="array" ref="D5">XLOOKUP($A$1,'清單'!$B$4:$B$26,'清單'!D4:D26,0,1,1)</f>
        <v>對應顏色</v>
      </c>
      <c r="E5" s="17" t="str">
        <f t="array" ref="E5">XLOOKUP($A$1,'清單'!$B$4:$B$26,'清單'!E4:E26,0,1,1)</f>
        <v>特殊屬性</v>
      </c>
      <c r="F5" s="17" t="str">
        <f t="array" ref="F5">XLOOKUP($A$1,'清單'!$B$4:$B$26,'清單'!F4:F26,0,1,1)</f>
        <v>移動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https://royalmatch.fandom.com/wiki/Rock</v>
      </c>
      <c r="K5" s="21">
        <f t="array" ref="K5">XLOOKUP($A$1,'清單'!$B$4:$B$26,'清單'!K4:K26,0,1,1)</f>
        <v>261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對應顏色</v>
      </c>
      <c r="D13" s="61" t="str">
        <f t="array" ref="D13">if(ISBLANK($D$5),"無",XLOOKUP($D$5,Glossary!B:B,Glossary!D:D,1,1,1))</f>
        <v>需要對應顏色的元素消除才能做出有效消除。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特殊屬性</v>
      </c>
      <c r="D16" s="61" t="str">
        <f t="array" ref="D16">if(ISBLANK($E$5),"無",XLOOKUP($E$5,Glossary!B:B,Glossary!D:D,1,1,1))</f>
        <v>雖然障礙物大致上符合某種類型的劃分，但有局部獨特的效果屬性，在清單中以此做分類，並會在該障礙物文件中詳細闡述。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移動</v>
      </c>
      <c r="D19" s="61" t="str">
        <f t="array" ref="D19">if(ISBLANK($F$5),,XLOOKUP($F$5,Glossary!B:B,Glossary!D:D,1,1,1))</f>
        <v>物件在盤面上，可被玩家滑動，或因為地形特殊效果和下方地塊沒有物件而位移。此類物件皆可透過生成器生成。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</row>
    <row r="32">
      <c r="C32" s="54" t="s">
        <v>476</v>
      </c>
    </row>
    <row r="34">
      <c r="C34" s="18" t="s">
        <v>477</v>
      </c>
    </row>
    <row r="36">
      <c r="C36" s="75" t="s">
        <v>478</v>
      </c>
    </row>
    <row r="38">
      <c r="C38" s="75" t="s">
        <v>479</v>
      </c>
    </row>
    <row r="40">
      <c r="C40" s="18" t="s">
        <v>480</v>
      </c>
    </row>
    <row r="42">
      <c r="C42" s="18" t="s">
        <v>481</v>
      </c>
    </row>
    <row r="45">
      <c r="A45" s="18">
        <v>4.0</v>
      </c>
      <c r="B45" s="18" t="s">
        <v>4</v>
      </c>
    </row>
    <row r="46">
      <c r="C46" s="18" t="s">
        <v>482</v>
      </c>
    </row>
    <row r="47">
      <c r="C47" s="18" t="s">
        <v>483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104</v>
      </c>
      <c r="B1" s="79"/>
      <c r="C1" s="79" t="s">
        <v>288</v>
      </c>
      <c r="D1" s="80" t="s">
        <v>455</v>
      </c>
      <c r="E1" s="79"/>
      <c r="F1" s="79"/>
      <c r="G1" s="79"/>
      <c r="H1" s="57" t="s">
        <v>290</v>
      </c>
      <c r="I1" s="79"/>
      <c r="J1" s="79"/>
      <c r="K1" s="79"/>
      <c r="L1" s="79"/>
      <c r="M1" s="79"/>
      <c r="N1" s="79"/>
      <c r="O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容器</v>
      </c>
      <c r="D5" s="17" t="str">
        <f t="array" ref="D5">XLOOKUP($A$1,'清單'!$B$4:$B$26,'清單'!D4:D26,0,1,1)</f>
        <v>複數地塊</v>
      </c>
      <c r="E5" s="17" t="str">
        <f t="array" ref="E5">XLOOKUP($A$1,'清單'!$B$4:$B$26,'清單'!E4:E26,0,1,1)</f>
        <v>對應顏色</v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Potion Bottle</v>
      </c>
      <c r="K5" s="21">
        <f t="array" ref="K5">XLOOKUP($A$1,'清單'!$B$4:$B$26,'清單'!K4:K26,0,1,1)</f>
        <v>41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容器</v>
      </c>
      <c r="D10" s="61" t="str">
        <f t="array" ref="D10">XLOOKUP($C$5,Glossary!$B:$B,Glossary!$D:$D,1,1,1)</f>
        <v>容器障礙物一般來說分成兩個階段，階段1為單次消除打開層級，可能有數層。階段2具有單次消除或多次消除的內容物。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複數地塊</v>
      </c>
      <c r="D13" s="61" t="str">
        <f t="array" ref="D13">if(ISBLANK($D$5),"無",XLOOKUP($D$5,Glossary!B:B,Glossary!D:D,1,1,1))</f>
        <v>物件最小存在單位超過一個地塊。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對應顏色</v>
      </c>
      <c r="D16" s="61" t="str">
        <f t="array" ref="D16">if(ISBLANK($E$5),"無",XLOOKUP($E$5,Glossary!B:B,Glossary!D:D,1,1,1))</f>
        <v>需要對應顏色的元素消除才能做出有效消除。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C31" s="18" t="s">
        <v>484</v>
      </c>
    </row>
    <row r="33">
      <c r="C33" s="18" t="s">
        <v>485</v>
      </c>
    </row>
    <row r="34">
      <c r="D34" s="18" t="s">
        <v>457</v>
      </c>
    </row>
    <row r="35">
      <c r="C35" s="82"/>
      <c r="E35" s="18" t="s">
        <v>486</v>
      </c>
    </row>
    <row r="37">
      <c r="D37" s="18" t="s">
        <v>460</v>
      </c>
    </row>
    <row r="38">
      <c r="C38" s="74"/>
      <c r="D38" s="58"/>
      <c r="E38" s="18" t="s">
        <v>487</v>
      </c>
    </row>
    <row r="39">
      <c r="E39" s="54" t="s">
        <v>488</v>
      </c>
    </row>
    <row r="40">
      <c r="E40" s="18" t="s">
        <v>489</v>
      </c>
    </row>
    <row r="41">
      <c r="E41" s="18" t="s">
        <v>490</v>
      </c>
    </row>
    <row r="44">
      <c r="A44" s="18">
        <v>3.0</v>
      </c>
      <c r="B44" s="18" t="s">
        <v>352</v>
      </c>
    </row>
    <row r="45">
      <c r="C45" s="18" t="s">
        <v>491</v>
      </c>
    </row>
    <row r="46">
      <c r="C46" s="18"/>
    </row>
    <row r="47">
      <c r="C47" s="18" t="s">
        <v>492</v>
      </c>
    </row>
    <row r="48">
      <c r="C48" s="18"/>
    </row>
    <row r="49">
      <c r="C49" s="18" t="s">
        <v>493</v>
      </c>
    </row>
    <row r="50">
      <c r="C50" s="18"/>
    </row>
    <row r="51">
      <c r="C51" s="18" t="s">
        <v>494</v>
      </c>
    </row>
    <row r="53">
      <c r="C53" s="18" t="s">
        <v>495</v>
      </c>
    </row>
    <row r="55">
      <c r="C55" s="18" t="s">
        <v>496</v>
      </c>
    </row>
    <row r="56">
      <c r="C56" s="18" t="s">
        <v>497</v>
      </c>
    </row>
    <row r="57">
      <c r="C57" s="18" t="s">
        <v>498</v>
      </c>
    </row>
    <row r="59">
      <c r="C59" s="18" t="s">
        <v>499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50</v>
      </c>
      <c r="B1" s="79"/>
      <c r="C1" s="79" t="s">
        <v>288</v>
      </c>
      <c r="D1" s="80" t="s">
        <v>455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容器</v>
      </c>
      <c r="D5" s="17" t="str">
        <f t="array" ref="D5">XLOOKUP($A$1,'清單'!$B$4:$B$26,'清單'!D4:D26,0,1,1)</f>
        <v>複數地塊</v>
      </c>
      <c r="E5" s="17" t="str">
        <f t="array" ref="E5">XLOOKUP($A$1,'清單'!$B$4:$B$26,'清單'!E4:E26,0,1,1)</f>
        <v>特殊屬性</v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混合消除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/>
      </c>
      <c r="K5" s="21">
        <f t="array" ref="K5">XLOOKUP($A$1,'清單'!$B$4:$B$26,'清單'!K4:K26,0,1,1)</f>
        <v>401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容器</v>
      </c>
      <c r="D10" s="61" t="str">
        <f t="array" ref="D10">XLOOKUP($C$5,Glossary!$B:$B,Glossary!$D:$D,1,1,1)</f>
        <v>容器障礙物一般來說分成兩個階段，階段1為單次消除打開層級，可能有數層。階段2具有單次消除或多次消除的內容物。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複數地塊</v>
      </c>
      <c r="D13" s="61" t="str">
        <f t="array" ref="D13">if(ISBLANK($D$5),"無",XLOOKUP($D$5,Glossary!B:B,Glossary!D:D,1,1,1))</f>
        <v>物件最小存在單位超過一個地塊。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特殊屬性</v>
      </c>
      <c r="D16" s="61" t="str">
        <f t="array" ref="D16">if(ISBLANK($E$5),"無",XLOOKUP($E$5,Glossary!B:B,Glossary!D:D,1,1,1))</f>
        <v>雖然障礙物大致上符合某種類型的劃分，但有局部獨特的效果屬性，在清單中以此做分類，並會在該障礙物文件中詳細闡述。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混合消除</v>
      </c>
      <c r="D22" s="61" t="str">
        <f t="array" ref="D22">if(ISBLANK($G$5),"無",XLOOKUP($G$5,Glossary!B:B,Glossary!D:D,1,1,1))</f>
        <v>單一障礙物的不同層級，存在單次消除和多次消除的設定，定義為混合消除。避免設計者混淆。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</row>
    <row r="32">
      <c r="C32" s="54" t="s">
        <v>500</v>
      </c>
    </row>
    <row r="34">
      <c r="C34" s="18" t="s">
        <v>501</v>
      </c>
    </row>
    <row r="35">
      <c r="C35" s="18"/>
    </row>
    <row r="36">
      <c r="C36" s="18" t="s">
        <v>502</v>
      </c>
    </row>
    <row r="38">
      <c r="C38" s="75" t="s">
        <v>503</v>
      </c>
    </row>
    <row r="40">
      <c r="C40" s="75" t="s">
        <v>504</v>
      </c>
    </row>
    <row r="42">
      <c r="C42" s="18" t="s">
        <v>505</v>
      </c>
    </row>
    <row r="44">
      <c r="C44" s="18" t="s">
        <v>506</v>
      </c>
    </row>
    <row r="45">
      <c r="C45" s="18" t="s">
        <v>507</v>
      </c>
    </row>
    <row r="49">
      <c r="A49" s="18">
        <v>4.0</v>
      </c>
      <c r="B49" s="18" t="s">
        <v>4</v>
      </c>
    </row>
    <row r="50">
      <c r="C50" s="18" t="s">
        <v>482</v>
      </c>
    </row>
    <row r="51">
      <c r="C51" s="18" t="s">
        <v>483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53</v>
      </c>
      <c r="B1" s="79"/>
      <c r="C1" s="79" t="s">
        <v>288</v>
      </c>
      <c r="D1" s="80" t="s">
        <v>455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一般型</v>
      </c>
      <c r="D5" s="17" t="str">
        <f t="array" ref="D5">XLOOKUP($A$1,'清單'!$B$4:$B$26,'清單'!D4:D26,0,1,1)</f>
        <v/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移動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Vase</v>
      </c>
      <c r="K5" s="21">
        <f t="array" ref="K5">XLOOKUP($A$1,'清單'!$B$4:$B$26,'清單'!K4:K26,0,1,1)</f>
        <v>51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無</v>
      </c>
      <c r="D13" s="61" t="str">
        <f t="array" ref="D13">if(ISBLANK($D$5),"無",XLOOKUP($D$5,Glossary!B:B,Glossary!D:D,1,1,1))</f>
        <v>無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移動</v>
      </c>
      <c r="D19" s="61" t="str">
        <f t="array" ref="D19">if(ISBLANK($F$5),,XLOOKUP($F$5,Glossary!B:B,Glossary!D:D,1,1,1))</f>
        <v>物件在盤面上，可被玩家滑動，或因為地形特殊效果和下方地塊沒有物件而位移。此類物件皆可透過生成器生成。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</row>
    <row r="32">
      <c r="C32" s="54" t="s">
        <v>508</v>
      </c>
    </row>
    <row r="34">
      <c r="C34" s="18" t="s">
        <v>509</v>
      </c>
    </row>
    <row r="36">
      <c r="C36" s="75" t="s">
        <v>510</v>
      </c>
    </row>
    <row r="38">
      <c r="C38" s="75" t="s">
        <v>511</v>
      </c>
    </row>
    <row r="40">
      <c r="C40" s="18" t="s">
        <v>512</v>
      </c>
    </row>
    <row r="42">
      <c r="C42" s="18" t="s">
        <v>513</v>
      </c>
    </row>
    <row r="43">
      <c r="C43" s="18" t="s">
        <v>514</v>
      </c>
    </row>
    <row r="47">
      <c r="A47" s="18">
        <v>4.0</v>
      </c>
      <c r="B47" s="18" t="s">
        <v>4</v>
      </c>
    </row>
    <row r="48">
      <c r="C48" s="18" t="s">
        <v>482</v>
      </c>
    </row>
    <row r="49">
      <c r="C49" s="18" t="s">
        <v>483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55</v>
      </c>
      <c r="B1" s="79"/>
      <c r="C1" s="79" t="s">
        <v>288</v>
      </c>
      <c r="D1" s="80" t="s">
        <v>515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一般型</v>
      </c>
      <c r="D5" s="17" t="str">
        <f t="array" ref="D5">XLOOKUP($A$1,'清單'!$B$4:$B$26,'清單'!D4:D26,0,1,1)</f>
        <v/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道具消除</v>
      </c>
      <c r="I5" s="17" t="str">
        <f t="array" ref="I5">XLOOKUP($A$1,'清單'!$B$4:$B$26,'清單'!I4:I26,0,1,1)</f>
        <v/>
      </c>
      <c r="J5" s="21" t="str">
        <f t="array" ref="J5">XLOOKUP($A$1,'清單'!$B$4:$B$26,'清單'!J4:J26,0,1,1)</f>
        <v>Owl</v>
      </c>
      <c r="K5" s="21">
        <f t="array" ref="K5">XLOOKUP($A$1,'清單'!$B$4:$B$26,'清單'!K4:K26,0,1,1)</f>
        <v>61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無</v>
      </c>
      <c r="D13" s="61" t="str">
        <f t="array" ref="D13">if(ISBLANK($D$5),"無",XLOOKUP($D$5,Glossary!B:B,Glossary!D:D,1,1,1))</f>
        <v>無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道具消除</v>
      </c>
      <c r="D25" s="61" t="str">
        <f t="array" ref="D25">if(ISBLANK($H$5),,XLOOKUP($H$5,Glossary!B:B,Glossary!D:D,1,1,1))</f>
        <v>由道具發出的消除行為，會對物件產生消除效果。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無</v>
      </c>
      <c r="D28" s="61" t="str">
        <f t="array" ref="D28">if(ISBLANK($I$5),,XLOOKUP($I$5,Glossary!B:B,Glossary!D:D,1,1,1))</f>
        <v/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</row>
    <row r="32">
      <c r="C32" s="54" t="s">
        <v>516</v>
      </c>
    </row>
    <row r="34">
      <c r="C34" s="18" t="s">
        <v>517</v>
      </c>
    </row>
    <row r="36">
      <c r="C36" s="18" t="s">
        <v>518</v>
      </c>
    </row>
    <row r="37">
      <c r="C37" s="18" t="s">
        <v>519</v>
      </c>
    </row>
    <row r="41">
      <c r="A41" s="18">
        <v>4.0</v>
      </c>
      <c r="B41" s="18" t="s">
        <v>4</v>
      </c>
    </row>
    <row r="42">
      <c r="C42" s="18" t="s">
        <v>482</v>
      </c>
    </row>
    <row r="43">
      <c r="C43" s="18" t="s">
        <v>483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58</v>
      </c>
      <c r="B1" s="79"/>
      <c r="C1" s="79" t="s">
        <v>288</v>
      </c>
      <c r="D1" s="80" t="s">
        <v>455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一般型</v>
      </c>
      <c r="D5" s="17" t="str">
        <f t="array" ref="D5">XLOOKUP($A$1,'清單'!$B$4:$B$26,'清單'!D4:D26,0,1,1)</f>
        <v>複數地塊</v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Bush</v>
      </c>
      <c r="K5" s="21">
        <f t="array" ref="K5">XLOOKUP($A$1,'清單'!$B$4:$B$26,'清單'!K4:K26,0,1,1)</f>
        <v>71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複數地塊</v>
      </c>
      <c r="D13" s="61" t="str">
        <f t="array" ref="D13">if(ISBLANK($D$5),"無",XLOOKUP($D$5,Glossary!B:B,Glossary!D:D,1,1,1))</f>
        <v>物件最小存在單位超過一個地塊。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</row>
    <row r="32">
      <c r="C32" s="54" t="s">
        <v>520</v>
      </c>
    </row>
    <row r="34">
      <c r="C34" s="54" t="s">
        <v>521</v>
      </c>
    </row>
    <row r="36">
      <c r="C36" s="75" t="s">
        <v>522</v>
      </c>
    </row>
    <row r="38">
      <c r="C38" s="18" t="s">
        <v>523</v>
      </c>
    </row>
    <row r="40">
      <c r="C40" s="18" t="s">
        <v>524</v>
      </c>
    </row>
    <row r="41">
      <c r="C41" s="18" t="s">
        <v>525</v>
      </c>
    </row>
    <row r="42">
      <c r="C42" s="18" t="s">
        <v>526</v>
      </c>
    </row>
    <row r="43">
      <c r="C43" s="18" t="s">
        <v>527</v>
      </c>
    </row>
    <row r="44">
      <c r="C44" s="18" t="s">
        <v>528</v>
      </c>
    </row>
    <row r="45">
      <c r="C45" s="18" t="s">
        <v>529</v>
      </c>
    </row>
    <row r="46">
      <c r="C46" s="18" t="s">
        <v>530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89</v>
      </c>
      <c r="B1" s="79"/>
      <c r="C1" s="79" t="s">
        <v>288</v>
      </c>
      <c r="D1" s="80" t="s">
        <v>92</v>
      </c>
      <c r="E1" s="79"/>
      <c r="F1" s="79"/>
      <c r="G1" s="79"/>
      <c r="H1" s="57" t="s">
        <v>290</v>
      </c>
      <c r="I1" s="79"/>
      <c r="J1" s="79"/>
      <c r="K1" s="79"/>
      <c r="L1" s="79"/>
      <c r="M1" s="79"/>
      <c r="N1" s="79"/>
      <c r="O1" s="79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18">
        <v>1.0</v>
      </c>
      <c r="B3" s="18" t="s">
        <v>337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上層型</v>
      </c>
      <c r="D5" s="17" t="str">
        <f t="array" ref="D5">XLOOKUP($A$1,'清單'!$B$4:$B$26,'清單'!D4:D26,0,1,1)</f>
        <v>特殊屬性</v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道具消除</v>
      </c>
      <c r="I5" s="17" t="str">
        <f t="array" ref="I5">XLOOKUP($A$1,'清單'!$B$4:$B$26,'清單'!I4:I26,0,1,1)</f>
        <v>原地消除</v>
      </c>
      <c r="J5" s="21" t="str">
        <f t="array" ref="J5">XLOOKUP($A$1,'清單'!$B$4:$B$26,'清單'!J4:J26,0,1,1)</f>
        <v>Chain</v>
      </c>
      <c r="K5" s="21">
        <f t="array" ref="K5">XLOOKUP($A$1,'清單'!$B$4:$B$26,'清單'!K4:K26,0,1,1)</f>
        <v>951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上層型</v>
      </c>
      <c r="D10" s="61" t="str">
        <f t="array" ref="D10">XLOOKUP($C$5,Glossary!$B:$B,Glossary!$D:$D,1,1,1)</f>
        <v>上層型障礙物可以覆蓋於其他的障礙物之上(不可覆蓋於其他上層型障礙物)，當上層型障礙物存在時，無法被其覆蓋的其他障礙物。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特殊屬性</v>
      </c>
      <c r="D13" s="61" t="str">
        <f t="array" ref="D13">if(ISBLANK($D$5),"無",XLOOKUP($D$5,Glossary!B:B,Glossary!D:D,1,1,1))</f>
        <v>雖然障礙物大致上符合某種類型的劃分，但有局部獨特的效果屬性，在清單中以此做分類，並會在該障礙物文件中詳細闡述。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道具消除</v>
      </c>
      <c r="D25" s="61" t="str">
        <f t="array" ref="D25">if(ISBLANK($H$5),,XLOOKUP($H$5,Glossary!B:B,Glossary!D:D,1,1,1))</f>
        <v>由道具發出的消除行為，會對物件產生消除效果。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原地消除</v>
      </c>
      <c r="D28" s="61" t="str">
        <f t="array" ref="D28">if(ISBLANK($I$5),,XLOOKUP($I$5,Glossary!B:B,Glossary!D:D,1,1,1))</f>
        <v>在同一個地塊上，由基本元素拼湊後觸發的消除，會對物件產生消除效果。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C31" s="54" t="s">
        <v>531</v>
      </c>
      <c r="D31" s="18" t="s">
        <v>532</v>
      </c>
    </row>
    <row r="32">
      <c r="D32" s="18" t="s">
        <v>533</v>
      </c>
    </row>
    <row r="33">
      <c r="D33" s="18" t="s">
        <v>534</v>
      </c>
    </row>
    <row r="34">
      <c r="D34" s="18" t="s">
        <v>535</v>
      </c>
    </row>
    <row r="37">
      <c r="A37" s="18">
        <v>3.0</v>
      </c>
      <c r="B37" s="18" t="s">
        <v>352</v>
      </c>
    </row>
    <row r="38">
      <c r="C38" s="54" t="s">
        <v>536</v>
      </c>
      <c r="E38" s="18" t="s">
        <v>537</v>
      </c>
    </row>
    <row r="40">
      <c r="C40" s="75" t="s">
        <v>538</v>
      </c>
      <c r="E40" s="18" t="s">
        <v>539</v>
      </c>
    </row>
    <row r="42">
      <c r="C42" s="18" t="s">
        <v>540</v>
      </c>
    </row>
    <row r="43">
      <c r="C43" s="18"/>
    </row>
    <row r="44">
      <c r="C44" s="18" t="s">
        <v>541</v>
      </c>
    </row>
    <row r="45">
      <c r="C45" s="18"/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94</v>
      </c>
      <c r="B1" s="79"/>
      <c r="C1" s="79" t="s">
        <v>288</v>
      </c>
      <c r="D1" s="80" t="s">
        <v>95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上層型</v>
      </c>
      <c r="D5" s="17" t="str">
        <f t="array" ref="D5">XLOOKUP($A$1,'清單'!$B$4:$B$26,'清單'!D4:D26,0,1,1)</f>
        <v/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Honey</v>
      </c>
      <c r="K5" s="21">
        <f t="array" ref="K5">XLOOKUP($A$1,'清單'!$B$4:$B$26,'清單'!K4:K26,0,1,1)</f>
        <v>81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上層型</v>
      </c>
      <c r="D10" s="61" t="str">
        <f t="array" ref="D10">XLOOKUP($C$5,Glossary!$B:$B,Glossary!$D:$D,1,1,1)</f>
        <v>上層型障礙物可以覆蓋於其他的障礙物之上(不可覆蓋於其他上層型障礙物)，當上層型障礙物存在時，無法被其覆蓋的其他障礙物。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無</v>
      </c>
      <c r="D13" s="61" t="str">
        <f t="array" ref="D13">if(ISBLANK($D$5),"無",XLOOKUP($D$5,Glossary!B:B,Glossary!D:D,1,1,1))</f>
        <v>無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</row>
    <row r="32">
      <c r="C32" s="54" t="s">
        <v>542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62</v>
      </c>
      <c r="B1" s="79"/>
      <c r="C1" s="79" t="s">
        <v>288</v>
      </c>
      <c r="D1" s="80" t="s">
        <v>455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一般型</v>
      </c>
      <c r="D5" s="17" t="str">
        <f t="array" ref="D5">XLOOKUP($A$1,'清單'!$B$4:$B$26,'清單'!D4:D26,0,1,1)</f>
        <v/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道具消除</v>
      </c>
      <c r="I5" s="17" t="str">
        <f t="array" ref="I5">XLOOKUP($A$1,'清單'!$B$4:$B$26,'清單'!I4:I26,0,1,1)</f>
        <v/>
      </c>
      <c r="J5" s="21" t="str">
        <f t="array" ref="J5">XLOOKUP($A$1,'清單'!$B$4:$B$26,'清單'!J4:J26,0,1,1)</f>
        <v>Safe</v>
      </c>
      <c r="K5" s="21">
        <f t="array" ref="K5">XLOOKUP($A$1,'清單'!$B$4:$B$26,'清單'!K4:K26,0,1,1)</f>
        <v>91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無</v>
      </c>
      <c r="D13" s="61" t="str">
        <f t="array" ref="D13">if(ISBLANK($D$5),"無",XLOOKUP($D$5,Glossary!B:B,Glossary!D:D,1,1,1))</f>
        <v>無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道具消除</v>
      </c>
      <c r="D25" s="61" t="str">
        <f t="array" ref="D25">if(ISBLANK($H$5),,XLOOKUP($H$5,Glossary!B:B,Glossary!D:D,1,1,1))</f>
        <v>由道具發出的消除行為，會對物件產生消除效果。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無</v>
      </c>
      <c r="D28" s="61" t="str">
        <f t="array" ref="D28">if(ISBLANK($I$5),,XLOOKUP($I$5,Glossary!B:B,Glossary!D:D,1,1,1))</f>
        <v/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</row>
    <row r="32">
      <c r="C32" s="54" t="s">
        <v>543</v>
      </c>
    </row>
    <row r="34">
      <c r="C34" s="54" t="s">
        <v>544</v>
      </c>
    </row>
    <row r="36">
      <c r="C36" s="75" t="s">
        <v>545</v>
      </c>
    </row>
    <row r="38">
      <c r="C38" s="18" t="s">
        <v>540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131</v>
      </c>
      <c r="B1" s="79"/>
      <c r="C1" s="79" t="s">
        <v>288</v>
      </c>
      <c r="D1" s="80" t="s">
        <v>546</v>
      </c>
      <c r="E1" s="79"/>
      <c r="F1" s="79"/>
      <c r="G1" s="79"/>
      <c r="H1" s="57" t="s">
        <v>290</v>
      </c>
      <c r="I1" s="79"/>
      <c r="J1" s="79"/>
      <c r="K1" s="79"/>
      <c r="L1" s="79"/>
      <c r="M1" s="79"/>
      <c r="N1" s="79"/>
      <c r="O1" s="79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18">
        <v>1.0</v>
      </c>
      <c r="B3" s="18" t="s">
        <v>337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">
        <v>132</v>
      </c>
      <c r="D5" s="17" t="str">
        <f t="array" ref="D5">XLOOKUP($A$1,'清單'!$B$4:$B$26,'清單'!D4:D26,0,1,1)</f>
        <v>複數地塊</v>
      </c>
      <c r="E5" s="17" t="str">
        <f t="array" ref="E5">XLOOKUP($A$1,'清單'!$B$4:$B$26,'清單'!E4:E26,0,1,1)</f>
        <v>特殊屬性</v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混合消除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/>
      </c>
      <c r="K5" s="21">
        <f t="array" ref="K5">XLOOKUP($A$1,'清單'!$B$4:$B$26,'清單'!K4:K26,0,1,1)</f>
        <v>401</v>
      </c>
    </row>
    <row r="6">
      <c r="K6" s="18"/>
    </row>
    <row r="8">
      <c r="A8" s="18">
        <v>2.0</v>
      </c>
      <c r="B8" s="18" t="s">
        <v>338</v>
      </c>
      <c r="M8" s="18">
        <v>2.5</v>
      </c>
      <c r="N8" s="18" t="s">
        <v>547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  <c r="O9" s="18" t="s">
        <v>548</v>
      </c>
    </row>
    <row r="10">
      <c r="C10" s="60" t="str">
        <f t="shared" si="1"/>
        <v>接收型</v>
      </c>
      <c r="D10" s="61" t="str">
        <f t="array" ref="D10">XLOOKUP($C$5,Glossary!$B:$B,Glossary!$D:$D,1,1,1)</f>
        <v>接收型障礙物只能在落入對應的接收器時才可被消除。接收型障礙物可移動，接收器不可移動、不占空間。</v>
      </c>
      <c r="E10" s="4"/>
      <c r="F10" s="4"/>
      <c r="G10" s="4"/>
      <c r="H10" s="4"/>
      <c r="I10" s="4"/>
      <c r="J10" s="4"/>
      <c r="K10" s="4"/>
      <c r="L10" s="5"/>
      <c r="O10" s="18" t="s">
        <v>549</v>
      </c>
    </row>
    <row r="11">
      <c r="D11" s="62"/>
      <c r="E11" s="62"/>
      <c r="F11" s="62"/>
      <c r="G11" s="62"/>
      <c r="H11" s="62"/>
      <c r="I11" s="62"/>
      <c r="J11" s="62"/>
      <c r="K11" s="62"/>
      <c r="O11" s="18" t="s">
        <v>550</v>
      </c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  <c r="O12" s="18" t="s">
        <v>551</v>
      </c>
    </row>
    <row r="13">
      <c r="C13" s="60" t="str">
        <f>if(ISBLANK($D$5),"無",CONCATENATE($D$5))</f>
        <v>複數地塊</v>
      </c>
      <c r="D13" s="61" t="str">
        <f t="array" ref="D13">if(ISBLANK($D$5),"無",XLOOKUP($D$5,Glossary!B:B,Glossary!D:D,1,1,1))</f>
        <v>物件最小存在單位超過一個地塊。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  <c r="O14" s="18" t="s">
        <v>552</v>
      </c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特殊屬性</v>
      </c>
      <c r="D16" s="61" t="str">
        <f t="array" ref="D16">if(ISBLANK($E$5),"無",XLOOKUP($E$5,Glossary!B:B,Glossary!D:D,1,1,1))</f>
        <v>雖然障礙物大致上符合某種類型的劃分，但有局部獨特的效果屬性，在清單中以此做分類，並會在該障礙物文件中詳細闡述。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混合消除</v>
      </c>
      <c r="D22" s="61" t="str">
        <f t="array" ref="D22">if(ISBLANK($G$5),"無",XLOOKUP($G$5,Glossary!B:B,Glossary!D:D,1,1,1))</f>
        <v>單一障礙物的不同層級，存在單次消除和多次消除的設定，定義為混合消除。避免設計者混淆。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  <c r="M31" s="18">
        <v>3.5</v>
      </c>
      <c r="N31" s="18" t="s">
        <v>553</v>
      </c>
    </row>
    <row r="32">
      <c r="C32" s="18" t="s">
        <v>554</v>
      </c>
      <c r="O32" s="18" t="s">
        <v>555</v>
      </c>
    </row>
    <row r="34">
      <c r="C34" s="75" t="s">
        <v>556</v>
      </c>
    </row>
    <row r="36">
      <c r="C36" s="75" t="s">
        <v>557</v>
      </c>
    </row>
    <row r="38">
      <c r="C38" s="18" t="s">
        <v>558</v>
      </c>
    </row>
    <row r="40">
      <c r="C40" s="18" t="s">
        <v>559</v>
      </c>
    </row>
    <row r="43">
      <c r="A43" s="18">
        <v>4.0</v>
      </c>
      <c r="B43" s="18" t="s">
        <v>560</v>
      </c>
    </row>
    <row r="44">
      <c r="C44" s="18" t="s">
        <v>561</v>
      </c>
    </row>
    <row r="45">
      <c r="C45" s="18" t="s">
        <v>562</v>
      </c>
    </row>
    <row r="46">
      <c r="C46" s="74" t="s">
        <v>308</v>
      </c>
      <c r="D46" s="18" t="s">
        <v>563</v>
      </c>
    </row>
    <row r="47">
      <c r="C47" s="83"/>
    </row>
    <row r="48">
      <c r="C48" s="74" t="s">
        <v>313</v>
      </c>
      <c r="D48" s="18" t="s">
        <v>564</v>
      </c>
    </row>
    <row r="50">
      <c r="C50" s="18" t="s">
        <v>565</v>
      </c>
    </row>
    <row r="51">
      <c r="D51" s="18" t="s">
        <v>566</v>
      </c>
      <c r="H51" s="18" t="s">
        <v>567</v>
      </c>
    </row>
    <row r="52">
      <c r="D52" s="18" t="s">
        <v>568</v>
      </c>
      <c r="H52" s="18" t="s">
        <v>569</v>
      </c>
    </row>
    <row r="53">
      <c r="D53" s="18" t="s">
        <v>570</v>
      </c>
      <c r="H53" s="18" t="s">
        <v>571</v>
      </c>
    </row>
    <row r="54">
      <c r="D54" s="58" t="s">
        <v>572</v>
      </c>
    </row>
    <row r="55">
      <c r="D55" s="18" t="s">
        <v>573</v>
      </c>
    </row>
    <row r="58">
      <c r="A58" s="84"/>
      <c r="B58" s="75"/>
      <c r="C58" s="73"/>
    </row>
    <row r="59">
      <c r="A59" s="73"/>
      <c r="B59" s="73"/>
      <c r="C59" s="75"/>
    </row>
    <row r="60">
      <c r="D60" s="55"/>
    </row>
    <row r="61">
      <c r="C61" s="75"/>
    </row>
    <row r="63">
      <c r="C63" s="75"/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  <dataValidation type="list" allowBlank="1" showErrorMessage="1" sqref="C5">
      <formula1>'清單'!$M$4:$M$17</formula1>
    </dataValidation>
  </dataValidations>
  <hyperlinks>
    <hyperlink display="返回清單" location="'清單'!A1" ref="H1"/>
  </hyperlin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67</v>
      </c>
      <c r="B1" s="79"/>
      <c r="C1" s="79" t="s">
        <v>288</v>
      </c>
      <c r="D1" s="80" t="s">
        <v>69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一般型</v>
      </c>
      <c r="D5" s="17" t="str">
        <f t="array" ref="D5">XLOOKUP($A$1,'清單'!$B$4:$B$26,'清單'!D4:D26,0,1,1)</f>
        <v>對應顏色</v>
      </c>
      <c r="E5" s="17" t="str">
        <f t="array" ref="E5">XLOOKUP($A$1,'清單'!$B$4:$B$26,'清單'!E4:E26,0,1,1)</f>
        <v/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Color Box</v>
      </c>
      <c r="K5" s="21">
        <f t="array" ref="K5">XLOOKUP($A$1,'清單'!$B$4:$B$26,'清單'!K4:K26,0,1,1)</f>
        <v>121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對應顏色</v>
      </c>
      <c r="D13" s="61" t="str">
        <f t="array" ref="D13">if(ISBLANK($D$5),"無",XLOOKUP($D$5,Glossary!B:B,Glossary!D:D,1,1,1))</f>
        <v>需要對應顏色的元素消除才能做出有效消除。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</row>
    <row r="32">
      <c r="C32" s="54" t="s">
        <v>574</v>
      </c>
    </row>
    <row r="34">
      <c r="C34" s="18" t="s">
        <v>575</v>
      </c>
    </row>
    <row r="36">
      <c r="C36" s="75" t="s">
        <v>576</v>
      </c>
    </row>
    <row r="38">
      <c r="C38" s="18" t="s">
        <v>540</v>
      </c>
    </row>
    <row r="41">
      <c r="A41" s="18">
        <v>4.0</v>
      </c>
      <c r="B41" s="18" t="s">
        <v>4</v>
      </c>
    </row>
    <row r="42">
      <c r="C42" s="54" t="s">
        <v>577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113</v>
      </c>
      <c r="B1" s="79"/>
      <c r="C1" s="79" t="s">
        <v>288</v>
      </c>
      <c r="D1" s="80" t="s">
        <v>578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特殊</v>
      </c>
      <c r="D5" s="17" t="str">
        <f t="array" ref="D5">XLOOKUP($A$1,'清單'!$B$4:$B$26,'清單'!D4:D26,0,1,1)</f>
        <v>複數地塊</v>
      </c>
      <c r="E5" s="17" t="str">
        <f t="array" ref="E5">XLOOKUP($A$1,'清單'!$B$4:$B$26,'清單'!E4:E26,0,1,1)</f>
        <v>特殊屬性</v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多次消除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>Ice/potion tube</v>
      </c>
      <c r="K5" s="21" t="str">
        <f t="array" ref="K5">XLOOKUP($A$1,'清單'!$B$4:$B$26,'清單'!K4:K26,0,1,1)</f>
        <v>141/9401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特殊</v>
      </c>
      <c r="D10" s="61" t="str">
        <f t="array" ref="D10">XLOOKUP($C$5,Glossary!$B:$B,Glossary!$D:$D,1,1,1)</f>
        <v>具有複合性的或獨特效果的障礙物，為避免設計者混淆，皆列入特殊類型以供辨識。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複數地塊</v>
      </c>
      <c r="D13" s="61" t="str">
        <f t="array" ref="D13">if(ISBLANK($D$5),"無",XLOOKUP($D$5,Glossary!B:B,Glossary!D:D,1,1,1))</f>
        <v>物件最小存在單位超過一個地塊。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特殊屬性</v>
      </c>
      <c r="D16" s="61" t="str">
        <f t="array" ref="D16">if(ISBLANK($E$5),"無",XLOOKUP($E$5,Glossary!B:B,Glossary!D:D,1,1,1))</f>
        <v>雖然障礙物大致上符合某種類型的劃分，但有局部獨特的效果屬性，在清單中以此做分類，並會在該障礙物文件中詳細闡述。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多次消除</v>
      </c>
      <c r="D22" s="61" t="str">
        <f t="array" ref="D22">if(ISBLANK($G$5),"無",XLOOKUP($G$5,Glossary!B:B,Glossary!D:D,1,1,1))</f>
        <v>障礙物連續受到多次消除，會造成對應消除次數的效果，沒有其他條件。特別是複數地塊物件，每個地塊受到的消除都會計算。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</row>
    <row r="32">
      <c r="C32" s="54" t="s">
        <v>579</v>
      </c>
      <c r="E32" s="18" t="s">
        <v>580</v>
      </c>
    </row>
    <row r="34">
      <c r="C34" s="54" t="s">
        <v>581</v>
      </c>
      <c r="E34" s="85" t="s">
        <v>582</v>
      </c>
    </row>
    <row r="36">
      <c r="C36" s="18" t="s">
        <v>583</v>
      </c>
      <c r="E36" s="18" t="s">
        <v>584</v>
      </c>
    </row>
    <row r="38">
      <c r="C38" s="18" t="s">
        <v>585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  <hyperlink r:id="rId1" ref="E3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85</v>
      </c>
      <c r="B1" s="79"/>
      <c r="C1" s="79" t="s">
        <v>288</v>
      </c>
      <c r="D1" s="80" t="s">
        <v>455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一般型</v>
      </c>
      <c r="D5" s="17" t="str">
        <f t="array" ref="D5">XLOOKUP($A$1,'清單'!$B$4:$B$26,'清單'!D4:D26,0,1,1)</f>
        <v/>
      </c>
      <c r="E5" s="17" t="str">
        <f t="array" ref="E5">XLOOKUP($A$1,'清單'!$B$4:$B$26,'清單'!E4:E26,0,1,1)</f>
        <v>特殊屬性</v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單次消除</v>
      </c>
      <c r="H5" s="17" t="str">
        <f t="array" ref="H5">XLOOKUP($A$1,'清單'!$B$4:$B$26,'清單'!H4:H26,0,1,1)</f>
        <v>鄰邊消除</v>
      </c>
      <c r="I5" s="17" t="str">
        <f t="array" ref="I5">XLOOKUP($A$1,'清單'!$B$4:$B$26,'清單'!I4:I26,0,1,1)</f>
        <v>道具消除</v>
      </c>
      <c r="J5" s="21" t="str">
        <f t="array" ref="J5">XLOOKUP($A$1,'清單'!$B$4:$B$26,'清單'!J4:J26,0,1,1)</f>
        <v/>
      </c>
      <c r="K5" s="21">
        <f t="array" ref="K5">XLOOKUP($A$1,'清單'!$B$4:$B$26,'清單'!K4:K26,0,1,1)</f>
        <v>301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無</v>
      </c>
      <c r="D13" s="61" t="str">
        <f t="array" ref="D13">if(ISBLANK($D$5),"無",XLOOKUP($D$5,Glossary!B:B,Glossary!D:D,1,1,1))</f>
        <v>無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特殊屬性</v>
      </c>
      <c r="D16" s="61" t="str">
        <f t="array" ref="D16">if(ISBLANK($E$5),"無",XLOOKUP($E$5,Glossary!B:B,Glossary!D:D,1,1,1))</f>
        <v>雖然障礙物大致上符合某種類型的劃分，但有局部獨特的效果屬性，在清單中以此做分類，並會在該障礙物文件中詳細闡述。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A31" s="18">
        <v>3.0</v>
      </c>
      <c r="B31" s="18" t="s">
        <v>352</v>
      </c>
    </row>
    <row r="32">
      <c r="C32" s="54" t="s">
        <v>586</v>
      </c>
    </row>
    <row r="34">
      <c r="C34" s="18" t="s">
        <v>587</v>
      </c>
    </row>
    <row r="36">
      <c r="C36" s="75"/>
    </row>
    <row r="37">
      <c r="A37" s="18">
        <v>4.0</v>
      </c>
      <c r="B37" s="18" t="s">
        <v>4</v>
      </c>
    </row>
    <row r="38">
      <c r="C38" s="18" t="s">
        <v>482</v>
      </c>
    </row>
    <row r="39">
      <c r="C39" s="18" t="s">
        <v>483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</hyperlin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 t="s">
        <v>117</v>
      </c>
      <c r="B1" s="79"/>
      <c r="C1" s="79" t="s">
        <v>288</v>
      </c>
      <c r="D1" s="80" t="s">
        <v>455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XLOOKUP($A$1,'清單'!$B$4:$B$26,'清單'!C4:C26,0,1,1)</f>
        <v>特殊</v>
      </c>
      <c r="D5" s="17" t="str">
        <f t="array" ref="D5">XLOOKUP($A$1,'清單'!$B$4:$B$26,'清單'!D4:D26,0,1,1)</f>
        <v>複數地塊</v>
      </c>
      <c r="E5" s="17" t="str">
        <f t="array" ref="E5">XLOOKUP($A$1,'清單'!$B$4:$B$26,'清單'!E4:E26,0,1,1)</f>
        <v>特殊屬性</v>
      </c>
      <c r="F5" s="17" t="str">
        <f t="array" ref="F5">XLOOKUP($A$1,'清單'!$B$4:$B$26,'清單'!F4:F26,0,1,1)</f>
        <v>固定</v>
      </c>
      <c r="G5" s="17" t="str">
        <f t="array" ref="G5">XLOOKUP($A$1,'清單'!$B$4:$B$26,'清單'!G4:G26,0,1,1)</f>
        <v>其他</v>
      </c>
      <c r="H5" s="17" t="str">
        <f t="array" ref="H5">XLOOKUP($A$1,'清單'!$B$4:$B$26,'清單'!H4:H26,0,1,1)</f>
        <v/>
      </c>
      <c r="I5" s="17" t="str">
        <f t="array" ref="I5">XLOOKUP($A$1,'清單'!$B$4:$B$26,'清單'!I4:I26,0,1,1)</f>
        <v/>
      </c>
      <c r="J5" s="21" t="str">
        <f t="array" ref="J5">XLOOKUP($A$1,'清單'!$B$4:$B$26,'清單'!J4:J26,0,1,1)</f>
        <v>Curtain</v>
      </c>
      <c r="K5" s="21">
        <f t="array" ref="K5">XLOOKUP($A$1,'清單'!$B$4:$B$26,'清單'!K4:K26,0,1,1)</f>
        <v>181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特殊</v>
      </c>
      <c r="D10" s="61" t="str">
        <f t="array" ref="D10">XLOOKUP($C$5,Glossary!$B:$B,Glossary!$D:$D,1,1,1)</f>
        <v>具有複合性的或獨特效果的障礙物，為避免設計者混淆，皆列入特殊類型以供辨識。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複數地塊</v>
      </c>
      <c r="D13" s="61" t="str">
        <f t="array" ref="D13">if(ISBLANK($D$5),"無",XLOOKUP($D$5,Glossary!B:B,Glossary!D:D,1,1,1))</f>
        <v>物件最小存在單位超過一個地塊。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特殊屬性</v>
      </c>
      <c r="D16" s="61" t="str">
        <f t="array" ref="D16">if(ISBLANK($E$5),"無",XLOOKUP($E$5,Glossary!B:B,Glossary!D:D,1,1,1))</f>
        <v>雖然障礙物大致上符合某種類型的劃分，但有局部獨特的效果屬性，在清單中以此做分類，並會在該障礙物文件中詳細闡述。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其他</v>
      </c>
      <c r="D22" s="61" t="str">
        <f t="array" ref="D22">if(ISBLANK($G$5),"無",XLOOKUP($G$5,Glossary!B:B,Glossary!D:D,1,1,1))</f>
        <v>代表有其他的消除方式，會特別註明。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無</v>
      </c>
      <c r="D25" s="61" t="str">
        <f t="array" ref="D25">if(ISBLANK($H$5),,XLOOKUP($H$5,Glossary!B:B,Glossary!D:D,1,1,1))</f>
        <v/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無</v>
      </c>
      <c r="D28" s="61" t="str">
        <f t="array" ref="D28">if(ISBLANK($I$5),,XLOOKUP($I$5,Glossary!B:B,Glossary!D:D,1,1,1))</f>
        <v/>
      </c>
      <c r="E28" s="4"/>
      <c r="F28" s="4"/>
      <c r="G28" s="4"/>
      <c r="H28" s="4"/>
      <c r="I28" s="4"/>
      <c r="J28" s="4"/>
      <c r="K28" s="4"/>
      <c r="L28" s="5"/>
    </row>
    <row r="31">
      <c r="C31" s="18" t="s">
        <v>588</v>
      </c>
    </row>
    <row r="32">
      <c r="C32" s="18" t="s">
        <v>589</v>
      </c>
    </row>
    <row r="33">
      <c r="C33" s="18" t="s">
        <v>590</v>
      </c>
    </row>
    <row r="34">
      <c r="C34" s="18" t="s">
        <v>591</v>
      </c>
    </row>
    <row r="35">
      <c r="C35" s="85" t="s">
        <v>592</v>
      </c>
    </row>
    <row r="38">
      <c r="A38" s="18">
        <v>3.0</v>
      </c>
      <c r="B38" s="18" t="s">
        <v>352</v>
      </c>
    </row>
    <row r="39">
      <c r="C39" s="54" t="s">
        <v>593</v>
      </c>
    </row>
    <row r="41">
      <c r="C41" s="54" t="s">
        <v>594</v>
      </c>
    </row>
    <row r="43">
      <c r="C43" s="75" t="s">
        <v>595</v>
      </c>
    </row>
    <row r="45">
      <c r="C45" s="18" t="s">
        <v>596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  <hyperlink r:id="rId1" ref="C35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597</v>
      </c>
      <c r="B1" s="79"/>
      <c r="C1" s="79" t="s">
        <v>288</v>
      </c>
      <c r="D1" s="80" t="s">
        <v>455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XLOOKUP($A$1,'清單'!$B$4:$B$100,'清單'!$C$4:$C$100,0,1,1)</f>
        <v>類型</v>
      </c>
      <c r="D5" s="17" t="str">
        <f t="array" ref="D5">XLOOKUP($A$1,'清單'!$B$4:$B$100,'清單'!$D$4:$D$100,0,1,1)</f>
        <v>屬性1</v>
      </c>
      <c r="E5" s="17" t="str">
        <f t="array" ref="E5">XLOOKUP($A$1,'清單'!$B$4:$B$100,'清單'!$E$4:$E$100,0,1,1)</f>
        <v>屬性2</v>
      </c>
      <c r="F5" s="17" t="str">
        <f t="array" ref="F5">XLOOKUP($A$1,'清單'!$B$4:$B$100,'清單'!$F$4:$F$100,0,1,1)</f>
        <v>盤面運動</v>
      </c>
      <c r="G5" s="17" t="str">
        <f t="array" ref="G5">XLOOKUP($A$1,'清單'!$B$4:$B$100,'清單'!$G$4:$G$100,0,1,1)</f>
        <v>消除類型</v>
      </c>
      <c r="H5" s="17" t="str">
        <f t="array" ref="H5">XLOOKUP($A$1,'清單'!$B$4:$B$100,'清單'!$H$4:$H$100,0,1,1)</f>
        <v>消除方式1</v>
      </c>
      <c r="I5" s="17" t="str">
        <f t="array" ref="I5">XLOOKUP($A$1,'清單'!$B$4:$B$100,'清單'!$I$4:$I$100,0,1,1)</f>
        <v>消除方式2</v>
      </c>
      <c r="J5" s="21" t="str">
        <f t="array" ref="J5">XLOOKUP($A$1,'清單'!$B$4:$B$100,'清單'!$J$4:$J$100,0,1,1)</f>
        <v>RM對應</v>
      </c>
      <c r="K5" s="21" t="str">
        <f t="array" ref="K5">XLOOKUP($A$1,'清單'!$B$4:$B$100,'清單'!$K$4:$K$100,0,1,1)</f>
        <v>RM初現關卡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類型</v>
      </c>
      <c r="D10" s="61">
        <f t="array" ref="D10">XLOOKUP($C$5,Glossary!$B:$B,Glossary!$D:$D,1,1,1)</f>
        <v>1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屬性1</v>
      </c>
      <c r="D13" s="61">
        <f t="array" ref="D13">if(ISBLANK($D$5),"無",XLOOKUP($D$5,Glossary!B:B,Glossary!D:D,1,1,1))</f>
        <v>1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屬性2</v>
      </c>
      <c r="D16" s="61">
        <f t="array" ref="D16">if(ISBLANK($E$5),"無",XLOOKUP($E$5,Glossary!B:B,Glossary!D:D,1,1,1))</f>
        <v>1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盤面運動</v>
      </c>
      <c r="D19" s="61" t="str">
        <f t="array" ref="D19">if(ISBLANK($F$5),,XLOOKUP($F$5,Glossary!B:B,Glossary!D:D,1,1,1))</f>
        <v>物件最小存在單位超過一個地塊。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消除類型</v>
      </c>
      <c r="D22" s="61" t="str">
        <f t="array" ref="D22">if(ISBLANK($G$5),"無",XLOOKUP($G$5,Glossary!B:B,Glossary!D:D,1,1,1))</f>
        <v>具有複合性的或獨特效果的障礙物，為避免設計者混淆，皆列入特殊類型以供辨識。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消除方式1</v>
      </c>
      <c r="D25" s="61" t="str">
        <f t="array" ref="D25">if(ISBLANK($H$5),,XLOOKUP($H$5,Glossary!B:B,Glossary!D:D,1,1,1))</f>
        <v>具有複合性的或獨特效果的障礙物，為避免設計者混淆，皆列入特殊類型以供辨識。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消除方式2</v>
      </c>
      <c r="D28" s="61" t="str">
        <f t="array" ref="D28">if(ISBLANK($I$5),,XLOOKUP($I$5,Glossary!B:B,Glossary!D:D,1,1,1))</f>
        <v>具有複合性的或獨特效果的障礙物，為避免設計者混淆，皆列入特殊類型以供辨識。</v>
      </c>
      <c r="E28" s="4"/>
      <c r="F28" s="4"/>
      <c r="G28" s="4"/>
      <c r="H28" s="4"/>
      <c r="I28" s="4"/>
      <c r="J28" s="4"/>
      <c r="K28" s="4"/>
      <c r="L28" s="5"/>
    </row>
    <row r="31">
      <c r="C31" s="18" t="s">
        <v>588</v>
      </c>
    </row>
    <row r="32">
      <c r="C32" s="18" t="s">
        <v>589</v>
      </c>
    </row>
    <row r="33">
      <c r="C33" s="18" t="s">
        <v>590</v>
      </c>
    </row>
    <row r="34">
      <c r="C34" s="18" t="s">
        <v>591</v>
      </c>
    </row>
    <row r="35">
      <c r="C35" s="85" t="s">
        <v>592</v>
      </c>
    </row>
    <row r="38">
      <c r="A38" s="18">
        <v>3.0</v>
      </c>
      <c r="B38" s="18" t="s">
        <v>352</v>
      </c>
    </row>
    <row r="39">
      <c r="C39" s="54" t="s">
        <v>593</v>
      </c>
    </row>
    <row r="41">
      <c r="C41" s="54" t="s">
        <v>594</v>
      </c>
    </row>
    <row r="43">
      <c r="C43" s="75" t="s">
        <v>595</v>
      </c>
    </row>
    <row r="45">
      <c r="C45" s="18" t="s">
        <v>596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  <hyperlink r:id="rId1" ref="C35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153</v>
      </c>
      <c r="B1" s="79"/>
      <c r="C1" s="79" t="s">
        <v>288</v>
      </c>
      <c r="D1" s="80" t="s">
        <v>455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XLOOKUP($A$1,'清單'!$B$4:$B$100,'清單'!$C$4:$C$100,0,1,1)</f>
        <v>製造機</v>
      </c>
      <c r="D5" s="17" t="str">
        <f t="array" ref="D5">XLOOKUP($A$1,'清單'!$B$4:$B$100,'清單'!$D$4:$D$100,0,1,1)</f>
        <v/>
      </c>
      <c r="E5" s="17" t="str">
        <f t="array" ref="E5">XLOOKUP($A$1,'清單'!$B$4:$B$100,'清單'!$E$4:$E$100,0,1,1)</f>
        <v/>
      </c>
      <c r="F5" s="17" t="str">
        <f t="array" ref="F5">XLOOKUP($A$1,'清單'!$B$4:$B$100,'清單'!$F$4:$F$100,0,1,1)</f>
        <v>固定</v>
      </c>
      <c r="G5" s="17" t="str">
        <f t="array" ref="G5">XLOOKUP($A$1,'清單'!$B$4:$B$100,'清單'!$G$4:$G$100,0,1,1)</f>
        <v>單次消除</v>
      </c>
      <c r="H5" s="17" t="str">
        <f t="array" ref="H5">XLOOKUP($A$1,'清單'!$B$4:$B$100,'清單'!$H$4:$H$100,0,1,1)</f>
        <v>鄰邊消除</v>
      </c>
      <c r="I5" s="17" t="str">
        <f t="array" ref="I5">XLOOKUP($A$1,'清單'!$B$4:$B$100,'清單'!$I$4:$I$100,0,1,1)</f>
        <v>道具消除</v>
      </c>
      <c r="J5" s="21" t="str">
        <f t="array" ref="J5">XLOOKUP($A$1,'清單'!$B$4:$B$100,'清單'!$J$4:$J$100,0,1,1)</f>
        <v>https://royalmatch.fandom.com/wiki/Magic_Hat</v>
      </c>
      <c r="K5" s="21">
        <f t="array" ref="K5">XLOOKUP($A$1,'清單'!$B$4:$B$100,'清單'!$K$4:$K$100,0,1,1)</f>
        <v>231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製造機</v>
      </c>
      <c r="D10" s="61" t="str">
        <f t="array" ref="D10">XLOOKUP($C$5,Glossary!$B:$B,Glossary!$D:$D,1,1,1)</f>
        <v>製造機一般來說不可被消除、所以不能覆蓋其他物件，也不能被其他物件覆蓋。製造機具有受到消除後會製造物件或通關目標的特性。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無</v>
      </c>
      <c r="D13" s="61" t="str">
        <f t="array" ref="D13">if(ISBLANK($D$5),"無",XLOOKUP($D$5,Glossary!B:B,Glossary!D:D,1,1,1))</f>
        <v>無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無</v>
      </c>
      <c r="D16" s="61" t="str">
        <f t="array" ref="D16">if(ISBLANK($E$5),"無",XLOOKUP($E$5,Glossary!B:B,Glossary!D:D,1,1,1))</f>
        <v>無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C31" s="18" t="s">
        <v>588</v>
      </c>
    </row>
    <row r="32">
      <c r="C32" s="18" t="s">
        <v>589</v>
      </c>
    </row>
    <row r="33">
      <c r="C33" s="18" t="s">
        <v>590</v>
      </c>
    </row>
    <row r="34">
      <c r="C34" s="18" t="s">
        <v>591</v>
      </c>
    </row>
    <row r="35">
      <c r="C35" s="85" t="s">
        <v>592</v>
      </c>
    </row>
    <row r="38">
      <c r="A38" s="18">
        <v>3.0</v>
      </c>
      <c r="B38" s="18" t="s">
        <v>352</v>
      </c>
    </row>
    <row r="39">
      <c r="C39" s="54" t="s">
        <v>593</v>
      </c>
    </row>
    <row r="41">
      <c r="C41" s="54" t="s">
        <v>594</v>
      </c>
    </row>
    <row r="43">
      <c r="C43" s="75" t="s">
        <v>595</v>
      </c>
    </row>
    <row r="45">
      <c r="C45" s="18" t="s">
        <v>596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  <hyperlink r:id="rId1" ref="C35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78</v>
      </c>
      <c r="B1" s="79"/>
      <c r="C1" s="79" t="s">
        <v>288</v>
      </c>
      <c r="D1" s="80" t="s">
        <v>455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XLOOKUP($A$1,'清單'!$B$4:$B$100,'清單'!$C$4:$C$100,0,1,1)</f>
        <v>一般型</v>
      </c>
      <c r="D5" s="17" t="str">
        <f t="array" ref="D5">XLOOKUP($A$1,'清單'!$B$4:$B$100,'清單'!$D$4:$D$100,0,1,1)</f>
        <v>對應顏色</v>
      </c>
      <c r="E5" s="17" t="str">
        <f t="array" ref="E5">XLOOKUP($A$1,'清單'!$B$4:$B$100,'清單'!$E$4:$E$100,0,1,1)</f>
        <v>特殊屬性</v>
      </c>
      <c r="F5" s="17" t="str">
        <f t="array" ref="F5">XLOOKUP($A$1,'清單'!$B$4:$B$100,'清單'!$F$4:$F$100,0,1,1)</f>
        <v>移動</v>
      </c>
      <c r="G5" s="17" t="str">
        <f t="array" ref="G5">XLOOKUP($A$1,'清單'!$B$4:$B$100,'清單'!$G$4:$G$100,0,1,1)</f>
        <v>單次消除</v>
      </c>
      <c r="H5" s="17" t="str">
        <f t="array" ref="H5">XLOOKUP($A$1,'清單'!$B$4:$B$100,'清單'!$H$4:$H$100,0,1,1)</f>
        <v>鄰邊消除</v>
      </c>
      <c r="I5" s="17" t="str">
        <f t="array" ref="I5">XLOOKUP($A$1,'清單'!$B$4:$B$100,'清單'!$I$4:$I$100,0,1,1)</f>
        <v>道具消除</v>
      </c>
      <c r="J5" s="21" t="str">
        <f t="array" ref="J5">XLOOKUP($A$1,'清單'!$B$4:$B$100,'清單'!$J$4:$J$100,0,1,1)</f>
        <v>https://royalmatch.fandom.com/wiki/Rock</v>
      </c>
      <c r="K5" s="21">
        <f t="array" ref="K5">XLOOKUP($A$1,'清單'!$B$4:$B$100,'清單'!$K$4:$K$100,0,1,1)</f>
        <v>261</v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對應顏色</v>
      </c>
      <c r="D13" s="61" t="str">
        <f t="array" ref="D13">if(ISBLANK($D$5),"無",XLOOKUP($D$5,Glossary!B:B,Glossary!D:D,1,1,1))</f>
        <v>需要對應顏色的元素消除才能做出有效消除。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特殊屬性</v>
      </c>
      <c r="D16" s="61" t="str">
        <f t="array" ref="D16">if(ISBLANK($E$5),"無",XLOOKUP($E$5,Glossary!B:B,Glossary!D:D,1,1,1))</f>
        <v>雖然障礙物大致上符合某種類型的劃分，但有局部獨特的效果屬性，在清單中以此做分類，並會在該障礙物文件中詳細闡述。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移動</v>
      </c>
      <c r="D19" s="61" t="str">
        <f t="array" ref="D19">if(ISBLANK($F$5),,XLOOKUP($F$5,Glossary!B:B,Glossary!D:D,1,1,1))</f>
        <v>物件在盤面上，可被玩家滑動，或因為地形特殊效果和下方地塊沒有物件而位移。此類物件皆可透過生成器生成。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單次消除</v>
      </c>
      <c r="D22" s="61" t="str">
        <f t="array" ref="D22">if(ISBLANK($G$5),"無",XLOOKUP($G$5,Glossary!B:B,Glossary!D:D,1,1,1))</f>
        <v>設定為單次消除的層級，在一次消除行為下，只能被消除一次。該次消除行為包含的複數地塊消除，都算是該單次消除行為。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C31" s="18" t="s">
        <v>588</v>
      </c>
    </row>
    <row r="32">
      <c r="C32" s="18" t="s">
        <v>589</v>
      </c>
    </row>
    <row r="33">
      <c r="C33" s="18" t="s">
        <v>590</v>
      </c>
    </row>
    <row r="34">
      <c r="C34" s="18" t="s">
        <v>591</v>
      </c>
    </row>
    <row r="35">
      <c r="C35" s="85" t="s">
        <v>592</v>
      </c>
    </row>
    <row r="38">
      <c r="A38" s="18">
        <v>3.0</v>
      </c>
      <c r="B38" s="18" t="s">
        <v>352</v>
      </c>
    </row>
    <row r="39">
      <c r="C39" s="54" t="s">
        <v>593</v>
      </c>
    </row>
    <row r="41">
      <c r="C41" s="54" t="s">
        <v>594</v>
      </c>
    </row>
    <row r="43">
      <c r="C43" s="75" t="s">
        <v>595</v>
      </c>
    </row>
    <row r="45">
      <c r="C45" s="18" t="s">
        <v>596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  <hyperlink r:id="rId1" ref="C35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87</v>
      </c>
      <c r="B1" s="79"/>
      <c r="C1" s="79" t="s">
        <v>288</v>
      </c>
      <c r="D1" s="80" t="s">
        <v>455</v>
      </c>
      <c r="E1" s="79"/>
      <c r="F1" s="79"/>
      <c r="G1" s="79"/>
      <c r="H1" s="57" t="s">
        <v>290</v>
      </c>
      <c r="I1" s="79"/>
      <c r="J1" s="79"/>
      <c r="K1" s="79"/>
      <c r="L1" s="79"/>
    </row>
    <row r="3">
      <c r="A3" s="18">
        <v>1.0</v>
      </c>
      <c r="B3" s="18" t="s">
        <v>337</v>
      </c>
    </row>
    <row r="4">
      <c r="C4" s="65" t="s">
        <v>163</v>
      </c>
      <c r="D4" s="66" t="s">
        <v>164</v>
      </c>
      <c r="E4" s="67" t="s">
        <v>165</v>
      </c>
      <c r="F4" s="68" t="s">
        <v>166</v>
      </c>
      <c r="G4" s="69" t="s">
        <v>167</v>
      </c>
      <c r="H4" s="70" t="s">
        <v>168</v>
      </c>
      <c r="I4" s="71" t="s">
        <v>169</v>
      </c>
      <c r="J4" s="72" t="s">
        <v>170</v>
      </c>
      <c r="K4" s="72" t="s">
        <v>171</v>
      </c>
    </row>
    <row r="5">
      <c r="C5" s="17" t="str">
        <f t="array" ref="C5">XLOOKUP($A$1,'清單'!$B$4:$B$100,'清單'!$C$4:$C$100,0,1,1)</f>
        <v>一般型</v>
      </c>
      <c r="D5" s="17" t="str">
        <f t="array" ref="D5">XLOOKUP($A$1,'清單'!$B$4:$B$100,'清單'!$D$4:$D$100,0,1,1)</f>
        <v>複數地塊</v>
      </c>
      <c r="E5" s="17" t="str">
        <f t="array" ref="E5">XLOOKUP($A$1,'清單'!$B$4:$B$100,'清單'!$E$4:$E$100,0,1,1)</f>
        <v>特殊屬性</v>
      </c>
      <c r="F5" s="17" t="str">
        <f t="array" ref="F5">XLOOKUP($A$1,'清單'!$B$4:$B$100,'清單'!$F$4:$F$100,0,1,1)</f>
        <v>固定</v>
      </c>
      <c r="G5" s="17" t="str">
        <f t="array" ref="G5">XLOOKUP($A$1,'清單'!$B$4:$B$100,'清單'!$G$4:$G$100,0,1,1)</f>
        <v>多次消除</v>
      </c>
      <c r="H5" s="17" t="str">
        <f t="array" ref="H5">XLOOKUP($A$1,'清單'!$B$4:$B$100,'清單'!$H$4:$H$100,0,1,1)</f>
        <v>鄰邊消除</v>
      </c>
      <c r="I5" s="17" t="str">
        <f t="array" ref="I5">XLOOKUP($A$1,'清單'!$B$4:$B$100,'清單'!$I$4:$I$100,0,1,1)</f>
        <v>道具消除</v>
      </c>
      <c r="J5" s="21" t="str">
        <f t="array" ref="J5">XLOOKUP($A$1,'清單'!$B$4:$B$100,'清單'!$J$4:$J$100,0,1,1)</f>
        <v/>
      </c>
      <c r="K5" s="21" t="str">
        <f t="array" ref="K5">XLOOKUP($A$1,'清單'!$B$4:$B$100,'清單'!$K$4:$K$100,0,1,1)</f>
        <v/>
      </c>
    </row>
    <row r="6">
      <c r="K6" s="18"/>
    </row>
    <row r="8">
      <c r="A8" s="18">
        <v>2.0</v>
      </c>
      <c r="B8" s="18" t="s">
        <v>338</v>
      </c>
    </row>
    <row r="9">
      <c r="C9" s="34" t="str">
        <f t="shared" ref="C9:C10" si="1">C4</f>
        <v>類型</v>
      </c>
      <c r="D9" s="59" t="s">
        <v>295</v>
      </c>
      <c r="E9" s="4"/>
      <c r="F9" s="4"/>
      <c r="G9" s="4"/>
      <c r="H9" s="4"/>
      <c r="I9" s="4"/>
      <c r="J9" s="4"/>
      <c r="K9" s="4"/>
      <c r="L9" s="5"/>
    </row>
    <row r="10">
      <c r="C10" s="60" t="str">
        <f t="shared" si="1"/>
        <v>一般型</v>
      </c>
      <c r="D10" s="61" t="str">
        <f t="array" ref="D10">XLOOKUP($C$5,Glossary!$B:$B,Glossary!$D:$D,1,1,1)</f>
        <v>最基礎的障礙物，具備1~N層，主要透過鄰邊消除和道具消除的手段來消除。</v>
      </c>
      <c r="E10" s="4"/>
      <c r="F10" s="4"/>
      <c r="G10" s="4"/>
      <c r="H10" s="4"/>
      <c r="I10" s="4"/>
      <c r="J10" s="4"/>
      <c r="K10" s="4"/>
      <c r="L10" s="5"/>
    </row>
    <row r="11">
      <c r="D11" s="62"/>
      <c r="E11" s="62"/>
      <c r="F11" s="62"/>
      <c r="G11" s="62"/>
      <c r="H11" s="62"/>
      <c r="I11" s="62"/>
      <c r="J11" s="62"/>
      <c r="K11" s="62"/>
    </row>
    <row r="12">
      <c r="C12" s="35" t="s">
        <v>164</v>
      </c>
      <c r="D12" s="59" t="s">
        <v>295</v>
      </c>
      <c r="E12" s="4"/>
      <c r="F12" s="4"/>
      <c r="G12" s="4"/>
      <c r="H12" s="4"/>
      <c r="I12" s="4"/>
      <c r="J12" s="4"/>
      <c r="K12" s="4"/>
      <c r="L12" s="5"/>
    </row>
    <row r="13">
      <c r="C13" s="60" t="str">
        <f>if(ISBLANK($D$5),"無",CONCATENATE($D$5))</f>
        <v>複數地塊</v>
      </c>
      <c r="D13" s="61" t="str">
        <f t="array" ref="D13">if(ISBLANK($D$5),"無",XLOOKUP($D$5,Glossary!B:B,Glossary!D:D,1,1,1))</f>
        <v>物件最小存在單位超過一個地塊。</v>
      </c>
      <c r="E13" s="4"/>
      <c r="F13" s="4"/>
      <c r="G13" s="4"/>
      <c r="H13" s="4"/>
      <c r="I13" s="4"/>
      <c r="J13" s="4"/>
      <c r="K13" s="4"/>
      <c r="L13" s="5"/>
    </row>
    <row r="14">
      <c r="D14" s="62"/>
      <c r="E14" s="62"/>
      <c r="F14" s="62"/>
      <c r="G14" s="62"/>
      <c r="H14" s="62"/>
      <c r="I14" s="62"/>
      <c r="J14" s="62"/>
      <c r="K14" s="62"/>
    </row>
    <row r="15">
      <c r="C15" s="36" t="s">
        <v>165</v>
      </c>
      <c r="D15" s="59" t="s">
        <v>295</v>
      </c>
      <c r="E15" s="4"/>
      <c r="F15" s="4"/>
      <c r="G15" s="4"/>
      <c r="H15" s="4"/>
      <c r="I15" s="4"/>
      <c r="J15" s="4"/>
      <c r="K15" s="4"/>
      <c r="L15" s="5"/>
    </row>
    <row r="16">
      <c r="C16" s="60" t="str">
        <f>if(ISBLANK($E$5),"無",CONCATENATE($E$5))</f>
        <v>特殊屬性</v>
      </c>
      <c r="D16" s="61" t="str">
        <f t="array" ref="D16">if(ISBLANK($E$5),"無",XLOOKUP($E$5,Glossary!B:B,Glossary!D:D,1,1,1))</f>
        <v>雖然障礙物大致上符合某種類型的劃分，但有局部獨特的效果屬性，在清單中以此做分類，並會在該障礙物文件中詳細闡述。</v>
      </c>
      <c r="E16" s="4"/>
      <c r="F16" s="4"/>
      <c r="G16" s="4"/>
      <c r="H16" s="4"/>
      <c r="I16" s="4"/>
      <c r="J16" s="4"/>
      <c r="K16" s="4"/>
      <c r="L16" s="5"/>
    </row>
    <row r="17">
      <c r="C17" s="63"/>
      <c r="D17" s="62"/>
      <c r="E17" s="62"/>
      <c r="F17" s="62"/>
      <c r="G17" s="62"/>
      <c r="H17" s="62"/>
      <c r="I17" s="62"/>
      <c r="J17" s="62"/>
      <c r="K17" s="62"/>
    </row>
    <row r="18">
      <c r="C18" s="37" t="s">
        <v>166</v>
      </c>
      <c r="D18" s="59" t="s">
        <v>295</v>
      </c>
      <c r="E18" s="4"/>
      <c r="F18" s="4"/>
      <c r="G18" s="4"/>
      <c r="H18" s="4"/>
      <c r="I18" s="4"/>
      <c r="J18" s="4"/>
      <c r="K18" s="4"/>
      <c r="L18" s="5"/>
    </row>
    <row r="19">
      <c r="C19" s="60" t="str">
        <f>if(ISBLANK($F$5),,CONCATENATE($F$5))</f>
        <v>固定</v>
      </c>
      <c r="D19" s="61" t="str">
        <f t="array" ref="D19">if(ISBLANK($F$5),,XLOOKUP($F$5,Glossary!B:B,Glossary!D:D,1,1,1))</f>
        <v>當物件屬性為固定時，代表物件在盤面的位置不會變動，且不會被滑動、交換及掉落。盤面運動屬性為固定的物件，都無法透過生成器生成。</v>
      </c>
      <c r="E19" s="4"/>
      <c r="F19" s="4"/>
      <c r="G19" s="4"/>
      <c r="H19" s="4"/>
      <c r="I19" s="4"/>
      <c r="J19" s="4"/>
      <c r="K19" s="4"/>
      <c r="L19" s="5"/>
    </row>
    <row r="20">
      <c r="D20" s="62"/>
      <c r="E20" s="62"/>
      <c r="F20" s="62"/>
      <c r="G20" s="62"/>
      <c r="H20" s="62"/>
      <c r="I20" s="62"/>
      <c r="J20" s="62"/>
      <c r="K20" s="62"/>
    </row>
    <row r="21">
      <c r="C21" s="38" t="s">
        <v>167</v>
      </c>
      <c r="D21" s="59" t="s">
        <v>295</v>
      </c>
      <c r="E21" s="4"/>
      <c r="F21" s="4"/>
      <c r="G21" s="4"/>
      <c r="H21" s="4"/>
      <c r="I21" s="4"/>
      <c r="J21" s="4"/>
      <c r="K21" s="4"/>
      <c r="L21" s="5"/>
    </row>
    <row r="22">
      <c r="C22" s="60" t="str">
        <f>if(ISBLANK($G$5),"無",CONCATENATE($G$5))</f>
        <v>多次消除</v>
      </c>
      <c r="D22" s="61" t="str">
        <f t="array" ref="D22">if(ISBLANK($G$5),"無",XLOOKUP($G$5,Glossary!B:B,Glossary!D:D,1,1,1))</f>
        <v>障礙物連續受到多次消除，會造成對應消除次數的效果，沒有其他條件。特別是複數地塊物件，每個地塊受到的消除都會計算。</v>
      </c>
      <c r="E22" s="4"/>
      <c r="F22" s="4"/>
      <c r="G22" s="4"/>
      <c r="H22" s="4"/>
      <c r="I22" s="4"/>
      <c r="J22" s="4"/>
      <c r="K22" s="4"/>
      <c r="L22" s="5"/>
    </row>
    <row r="23">
      <c r="D23" s="62"/>
      <c r="E23" s="62"/>
      <c r="F23" s="62"/>
      <c r="G23" s="62"/>
      <c r="H23" s="62"/>
      <c r="I23" s="62"/>
      <c r="J23" s="62"/>
      <c r="K23" s="62"/>
    </row>
    <row r="24">
      <c r="C24" s="39" t="s">
        <v>168</v>
      </c>
      <c r="D24" s="59" t="s">
        <v>295</v>
      </c>
      <c r="E24" s="4"/>
      <c r="F24" s="4"/>
      <c r="G24" s="4"/>
      <c r="H24" s="4"/>
      <c r="I24" s="4"/>
      <c r="J24" s="4"/>
      <c r="K24" s="4"/>
      <c r="L24" s="5"/>
    </row>
    <row r="25">
      <c r="C25" s="60" t="str">
        <f>if(ISBLANK($H$5),"無",CONCATENATE($H$5))</f>
        <v>鄰邊消除</v>
      </c>
      <c r="D25" s="61" t="str">
        <f t="array" ref="D25">if(ISBLANK($H$5),,XLOOKUP($H$5,Glossary!B:B,Glossary!D:D,1,1,1))</f>
        <v>在與物件相鄰的地塊觸發消除行為時，會對物件產生消除效果。</v>
      </c>
      <c r="E25" s="4"/>
      <c r="F25" s="4"/>
      <c r="G25" s="4"/>
      <c r="H25" s="4"/>
      <c r="I25" s="4"/>
      <c r="J25" s="4"/>
      <c r="K25" s="4"/>
      <c r="L25" s="5"/>
    </row>
    <row r="26">
      <c r="D26" s="62"/>
      <c r="E26" s="62"/>
      <c r="F26" s="62"/>
      <c r="G26" s="62"/>
      <c r="H26" s="62"/>
      <c r="I26" s="62"/>
      <c r="J26" s="62"/>
      <c r="K26" s="62"/>
    </row>
    <row r="27">
      <c r="C27" s="40" t="s">
        <v>169</v>
      </c>
      <c r="D27" s="59" t="s">
        <v>295</v>
      </c>
      <c r="E27" s="4"/>
      <c r="F27" s="4"/>
      <c r="G27" s="4"/>
      <c r="H27" s="4"/>
      <c r="I27" s="4"/>
      <c r="J27" s="4"/>
      <c r="K27" s="4"/>
      <c r="L27" s="5"/>
    </row>
    <row r="28">
      <c r="C28" s="60" t="str">
        <f>if(ISBLANK($I$5),"無",CONCATENATE($I$5))</f>
        <v>道具消除</v>
      </c>
      <c r="D28" s="61" t="str">
        <f t="array" ref="D28">if(ISBLANK($I$5),,XLOOKUP($I$5,Glossary!B:B,Glossary!D:D,1,1,1))</f>
        <v>由道具發出的消除行為，會對物件產生消除效果。</v>
      </c>
      <c r="E28" s="4"/>
      <c r="F28" s="4"/>
      <c r="G28" s="4"/>
      <c r="H28" s="4"/>
      <c r="I28" s="4"/>
      <c r="J28" s="4"/>
      <c r="K28" s="4"/>
      <c r="L28" s="5"/>
    </row>
    <row r="31">
      <c r="C31" s="18" t="s">
        <v>588</v>
      </c>
    </row>
    <row r="32">
      <c r="C32" s="18" t="s">
        <v>589</v>
      </c>
    </row>
    <row r="33">
      <c r="C33" s="18" t="s">
        <v>590</v>
      </c>
    </row>
    <row r="34">
      <c r="C34" s="18" t="s">
        <v>591</v>
      </c>
    </row>
    <row r="35">
      <c r="C35" s="85" t="s">
        <v>592</v>
      </c>
    </row>
    <row r="38">
      <c r="A38" s="18">
        <v>3.0</v>
      </c>
      <c r="B38" s="18" t="s">
        <v>352</v>
      </c>
    </row>
    <row r="39">
      <c r="C39" s="54" t="s">
        <v>593</v>
      </c>
    </row>
    <row r="41">
      <c r="C41" s="54" t="s">
        <v>594</v>
      </c>
    </row>
    <row r="43">
      <c r="C43" s="75" t="s">
        <v>595</v>
      </c>
    </row>
    <row r="45">
      <c r="C45" s="18" t="s">
        <v>596</v>
      </c>
    </row>
  </sheetData>
  <mergeCells count="14">
    <mergeCell ref="D19:L19"/>
    <mergeCell ref="D21:L21"/>
    <mergeCell ref="D22:L22"/>
    <mergeCell ref="D24:L24"/>
    <mergeCell ref="D25:L25"/>
    <mergeCell ref="D27:L27"/>
    <mergeCell ref="D28:L28"/>
    <mergeCell ref="D9:L9"/>
    <mergeCell ref="D10:L10"/>
    <mergeCell ref="D12:L12"/>
    <mergeCell ref="D13:L13"/>
    <mergeCell ref="D15:L15"/>
    <mergeCell ref="D16:L16"/>
    <mergeCell ref="D18:L18"/>
  </mergeCells>
  <dataValidations>
    <dataValidation type="list" allowBlank="1" showErrorMessage="1" sqref="C5">
      <formula1>'清單'!$M$4:$M$17</formula1>
    </dataValidation>
    <dataValidation type="list" allowBlank="1" showErrorMessage="1" sqref="G5">
      <formula1>'清單'!$O$5:$O$9</formula1>
    </dataValidation>
    <dataValidation type="list" allowBlank="1" showErrorMessage="1" sqref="H5:I5">
      <formula1>'清單'!$P$5:$P$9</formula1>
    </dataValidation>
    <dataValidation type="list" allowBlank="1" showErrorMessage="1" sqref="D5:E5">
      <formula1>'清單'!$N$5:$N$9</formula1>
    </dataValidation>
    <dataValidation type="list" allowBlank="1" showErrorMessage="1" sqref="F5">
      <formula1>'清單'!$Q$4:$Q$6</formula1>
    </dataValidation>
  </dataValidations>
  <hyperlinks>
    <hyperlink display="返回清單" location="'清單'!A1" ref="H1"/>
    <hyperlink r:id="rId1" ref="C35"/>
  </hyperlin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598</v>
      </c>
      <c r="B1" s="79"/>
      <c r="C1" s="79" t="s">
        <v>288</v>
      </c>
      <c r="D1" s="80" t="s">
        <v>599</v>
      </c>
      <c r="E1" s="79"/>
      <c r="F1" s="79"/>
      <c r="G1" s="79"/>
      <c r="H1" s="57" t="s">
        <v>290</v>
      </c>
      <c r="I1" s="79"/>
      <c r="J1" s="79"/>
      <c r="K1" s="79"/>
      <c r="L1" s="79"/>
      <c r="M1" s="79"/>
      <c r="N1" s="79"/>
      <c r="O1" s="79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77">
        <v>1.0</v>
      </c>
      <c r="B3" s="73" t="s">
        <v>337</v>
      </c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C4" s="75" t="s">
        <v>49</v>
      </c>
    </row>
    <row r="7">
      <c r="A7" s="18">
        <v>2.0</v>
      </c>
      <c r="B7" s="18" t="s">
        <v>600</v>
      </c>
      <c r="J7" s="18">
        <v>2.5</v>
      </c>
      <c r="K7" s="18" t="s">
        <v>601</v>
      </c>
    </row>
    <row r="8">
      <c r="C8" s="18" t="s">
        <v>602</v>
      </c>
      <c r="L8" s="18" t="s">
        <v>602</v>
      </c>
    </row>
    <row r="9">
      <c r="C9" s="18" t="s">
        <v>603</v>
      </c>
      <c r="L9" s="18" t="s">
        <v>604</v>
      </c>
    </row>
    <row r="10">
      <c r="C10" s="18" t="s">
        <v>605</v>
      </c>
      <c r="L10" s="18" t="s">
        <v>606</v>
      </c>
    </row>
    <row r="11">
      <c r="C11" s="18" t="s">
        <v>607</v>
      </c>
      <c r="L11" s="18" t="s">
        <v>608</v>
      </c>
    </row>
    <row r="12">
      <c r="C12" s="82" t="s">
        <v>609</v>
      </c>
      <c r="L12" s="18" t="s">
        <v>610</v>
      </c>
    </row>
    <row r="13">
      <c r="C13" s="18" t="s">
        <v>611</v>
      </c>
      <c r="L13" s="18" t="s">
        <v>612</v>
      </c>
    </row>
    <row r="15">
      <c r="C15" s="74" t="s">
        <v>308</v>
      </c>
      <c r="D15" s="58" t="s">
        <v>613</v>
      </c>
    </row>
    <row r="16">
      <c r="J16" s="18">
        <v>3.5</v>
      </c>
      <c r="K16" s="18" t="s">
        <v>614</v>
      </c>
    </row>
    <row r="17">
      <c r="L17" s="18" t="s">
        <v>615</v>
      </c>
    </row>
    <row r="31">
      <c r="C31" s="74" t="s">
        <v>313</v>
      </c>
      <c r="D31" s="18" t="s">
        <v>616</v>
      </c>
    </row>
    <row r="45">
      <c r="D45" s="18" t="s">
        <v>617</v>
      </c>
    </row>
    <row r="48">
      <c r="A48" s="18">
        <v>3.0</v>
      </c>
      <c r="B48" s="18" t="s">
        <v>618</v>
      </c>
    </row>
    <row r="49">
      <c r="C49" s="18" t="s">
        <v>555</v>
      </c>
    </row>
  </sheetData>
  <hyperlinks>
    <hyperlink display="返回清單" location="'清單'!A1" ref="H1"/>
  </hyperlin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619</v>
      </c>
      <c r="B1" s="79"/>
      <c r="C1" s="79" t="s">
        <v>288</v>
      </c>
      <c r="D1" s="80" t="s">
        <v>620</v>
      </c>
      <c r="E1" s="79"/>
      <c r="F1" s="79"/>
      <c r="G1" s="79"/>
      <c r="H1" s="57" t="s">
        <v>290</v>
      </c>
      <c r="I1" s="79"/>
      <c r="J1" s="79"/>
      <c r="K1" s="79"/>
      <c r="L1" s="79"/>
      <c r="M1" s="79"/>
      <c r="N1" s="79"/>
      <c r="O1" s="79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18">
        <v>1.0</v>
      </c>
      <c r="B3" s="18" t="s">
        <v>621</v>
      </c>
      <c r="D3" s="73"/>
      <c r="E3" s="73"/>
      <c r="F3" s="73"/>
      <c r="G3" s="73"/>
      <c r="H3" s="73"/>
      <c r="I3" s="73"/>
      <c r="J3" s="75">
        <v>1.5</v>
      </c>
      <c r="K3" s="75" t="s">
        <v>622</v>
      </c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C4" s="18" t="s">
        <v>623</v>
      </c>
      <c r="L4" s="18" t="s">
        <v>624</v>
      </c>
    </row>
    <row r="7">
      <c r="A7" s="18">
        <v>2.0</v>
      </c>
      <c r="B7" s="18" t="s">
        <v>625</v>
      </c>
      <c r="J7" s="18">
        <v>2.5</v>
      </c>
      <c r="K7" s="18" t="s">
        <v>626</v>
      </c>
    </row>
    <row r="8">
      <c r="C8" s="18" t="s">
        <v>602</v>
      </c>
      <c r="L8" s="18" t="s">
        <v>627</v>
      </c>
    </row>
    <row r="9">
      <c r="C9" s="18" t="s">
        <v>603</v>
      </c>
      <c r="L9" s="18" t="s">
        <v>628</v>
      </c>
    </row>
    <row r="10">
      <c r="C10" s="18" t="s">
        <v>629</v>
      </c>
      <c r="L10" s="58" t="s">
        <v>630</v>
      </c>
    </row>
    <row r="11">
      <c r="C11" s="18" t="s">
        <v>631</v>
      </c>
    </row>
    <row r="12">
      <c r="C12" s="18" t="s">
        <v>632</v>
      </c>
      <c r="L12" s="54" t="s">
        <v>633</v>
      </c>
    </row>
    <row r="13">
      <c r="C13" s="18" t="s">
        <v>634</v>
      </c>
    </row>
    <row r="14">
      <c r="C14" s="18" t="s">
        <v>635</v>
      </c>
    </row>
    <row r="15">
      <c r="C15" s="18" t="s">
        <v>636</v>
      </c>
      <c r="J15" s="18">
        <v>3.5</v>
      </c>
      <c r="K15" s="18" t="s">
        <v>637</v>
      </c>
    </row>
    <row r="16">
      <c r="C16" s="18" t="s">
        <v>638</v>
      </c>
      <c r="L16" s="18" t="s">
        <v>555</v>
      </c>
    </row>
    <row r="19">
      <c r="A19" s="18">
        <v>3.0</v>
      </c>
      <c r="B19" s="18" t="s">
        <v>639</v>
      </c>
    </row>
    <row r="20">
      <c r="C20" s="18" t="s">
        <v>640</v>
      </c>
    </row>
  </sheetData>
  <hyperlinks>
    <hyperlink display="返回清單" location="'清單'!A1" ref="H1"/>
  </hyperlinks>
  <drawing r:id="rId1"/>
</worksheet>
</file>